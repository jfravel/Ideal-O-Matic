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Data" sheetId="1" state="visible" r:id="rId1"/>
    <sheet name="Sheet1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<sst xmlns="http://schemas.openxmlformats.org/spreadsheetml/2006/main" count="101" uniqueCount="101">
  <si>
    <t>Name</t>
  </si>
  <si>
    <t>Date</t>
  </si>
  <si>
    <t>Model</t>
  </si>
  <si>
    <t>Objective</t>
  </si>
  <si>
    <t>N</t>
  </si>
  <si>
    <t>Instance</t>
  </si>
  <si>
    <t>Cuts</t>
  </si>
  <si>
    <t>Presolve</t>
  </si>
  <si>
    <t>Heuristics</t>
  </si>
  <si>
    <t>Runtime</t>
  </si>
  <si>
    <t>Value</t>
  </si>
  <si>
    <t>Bound</t>
  </si>
  <si>
    <t xml:space="preserve">MIP Gap</t>
  </si>
  <si>
    <t xml:space="preserve">Sol Count</t>
  </si>
  <si>
    <t xml:space="preserve">Node Count</t>
  </si>
  <si>
    <t>NUspb-010-StripPacking-10-0</t>
  </si>
  <si>
    <t>NUspb</t>
  </si>
  <si>
    <t>StripPacking</t>
  </si>
  <si>
    <t>NUspb-111-StripPacking-10-0</t>
  </si>
  <si>
    <t>NUspb-010-StripPacking-15-0</t>
  </si>
  <si>
    <t>NUspb-111-StripPacking-15-0</t>
  </si>
  <si>
    <t>NUspb-010-StripPacking-20-0</t>
  </si>
  <si>
    <t>NUspb-111-StripPacking-20-0</t>
  </si>
  <si>
    <t>NUspb-010-StripPacking-25-0</t>
  </si>
  <si>
    <t>NUspb-111-StripPacking-25-0</t>
  </si>
  <si>
    <t>NUspb-010-StripPacking-35-0</t>
  </si>
  <si>
    <t>NUspb-111-StripPacking-35-0</t>
  </si>
  <si>
    <t>NUspb-010-StripPacking-50-0</t>
  </si>
  <si>
    <t>NUspb-111-StripPacking-50-0</t>
  </si>
  <si>
    <t>SUspb-010-StripPacking-10-0</t>
  </si>
  <si>
    <t>SUspb</t>
  </si>
  <si>
    <t>SUspb-111-StripPacking-10-0</t>
  </si>
  <si>
    <t>SUspb-010-StripPacking-15-0</t>
  </si>
  <si>
    <t>SUspb-111-StripPacking-15-0</t>
  </si>
  <si>
    <t>SUspb-010-StripPacking-20-0</t>
  </si>
  <si>
    <t>SUspb-111-StripPacking-20-0</t>
  </si>
  <si>
    <t>SUspb-010-StripPacking-25-0</t>
  </si>
  <si>
    <t>SUspb-111-StripPacking-25-0</t>
  </si>
  <si>
    <t>SUspb-010-StripPacking-35-0</t>
  </si>
  <si>
    <t>SUspb-111-StripPacking-35-0</t>
  </si>
  <si>
    <t>SUspb-010-StripPacking-50-0</t>
  </si>
  <si>
    <t>SUspb-111-StripPacking-50-0</t>
  </si>
  <si>
    <t>RUspb-010-StripPacking-10-0</t>
  </si>
  <si>
    <t>RUspb</t>
  </si>
  <si>
    <t>RUspb-111-StripPacking-10-0</t>
  </si>
  <si>
    <t>RUspb-010-StripPacking-15-0</t>
  </si>
  <si>
    <t>RUspb-111-StripPacking-15-0</t>
  </si>
  <si>
    <t>RUspb-010-StripPacking-20-0</t>
  </si>
  <si>
    <t>RUspb-111-StripPacking-20-0</t>
  </si>
  <si>
    <t>RUspb-010-StripPacking-25-0</t>
  </si>
  <si>
    <t>RUspb-111-StripPacking-25-0</t>
  </si>
  <si>
    <t>RUspb-010-StripPacking-35-0</t>
  </si>
  <si>
    <t>RUspb-111-StripPacking-35-0</t>
  </si>
  <si>
    <t>RUspb-010-StripPacking-50-0</t>
  </si>
  <si>
    <t>RUspb-111-StripPacking-50-0</t>
  </si>
  <si>
    <t>HUspb-010-StripPacking-10-0</t>
  </si>
  <si>
    <t>HUspb</t>
  </si>
  <si>
    <t>HUspb-111-StripPacking-10-0</t>
  </si>
  <si>
    <t>HUspb-010-StripPacking-15-0</t>
  </si>
  <si>
    <t>HUspb-111-StripPacking-15-0</t>
  </si>
  <si>
    <t>HUspb-010-StripPacking-20-0</t>
  </si>
  <si>
    <t>HUspb-111-StripPacking-20-0</t>
  </si>
  <si>
    <t>HUspb-010-StripPacking-25-0</t>
  </si>
  <si>
    <t>HUspb-111-StripPacking-25-0</t>
  </si>
  <si>
    <t>HUspb-010-StripPacking-35-0</t>
  </si>
  <si>
    <t>HUspb-111-StripPacking-35-0</t>
  </si>
  <si>
    <t>HUspb-010-StripPacking-50-0</t>
  </si>
  <si>
    <t>HUspb-111-StripPacking-50-0</t>
  </si>
  <si>
    <t>SBspbL-010-StripPacking-10-0</t>
  </si>
  <si>
    <t>SBspbL</t>
  </si>
  <si>
    <t>SBspbL-111-StripPacking-10-0</t>
  </si>
  <si>
    <t>SBspbL-010-StripPacking-15-0</t>
  </si>
  <si>
    <t>SBspbL-111-StripPacking-15-0</t>
  </si>
  <si>
    <t>SBspbL-010-StripPacking-20-0</t>
  </si>
  <si>
    <t>SBspbL-111-StripPacking-20-0</t>
  </si>
  <si>
    <t>SBspbL-010-StripPacking-25-0</t>
  </si>
  <si>
    <t>SBspbL-111-StripPacking-25-0</t>
  </si>
  <si>
    <t>SBspbL-010-StripPacking-35-0</t>
  </si>
  <si>
    <t>SBspbL-111-StripPacking-35-0</t>
  </si>
  <si>
    <t>SBspbL-010-StripPacking-50-0</t>
  </si>
  <si>
    <t>SBspbL-111-StripPacking-50-0</t>
  </si>
  <si>
    <t>SBspbM-010-StripPacking-10-0</t>
  </si>
  <si>
    <t>SBspbM</t>
  </si>
  <si>
    <t>SBspbM-111-StripPacking-10-0</t>
  </si>
  <si>
    <t>SBspbM-010-StripPacking-15-0</t>
  </si>
  <si>
    <t>SBspbM-111-StripPacking-15-0</t>
  </si>
  <si>
    <t>SBspbM-010-StripPacking-20-0</t>
  </si>
  <si>
    <t>SBspbM-111-StripPacking-20-0</t>
  </si>
  <si>
    <t>SBspbM-010-StripPacking-25-0</t>
  </si>
  <si>
    <t>SBspbM-111-StripPacking-25-0</t>
  </si>
  <si>
    <t>SBspbM-010-StripPacking-35-0</t>
  </si>
  <si>
    <t>SBspbM-111-StripPacking-35-0</t>
  </si>
  <si>
    <t>SBspbM-010-StripPacking-50-0</t>
  </si>
  <si>
    <t>SBspbM-111-StripPacking-50-0</t>
  </si>
  <si>
    <t>Time/Gap</t>
  </si>
  <si>
    <t>NU</t>
  </si>
  <si>
    <t>SU</t>
  </si>
  <si>
    <t>RU</t>
  </si>
  <si>
    <t>HU</t>
  </si>
  <si>
    <t>SB-L</t>
  </si>
  <si>
    <t>SB-M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</si>
</sst>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9">
    <numFmt numFmtId="164" formatCode="0.00000000000000000"/>
    <numFmt numFmtId="165" formatCode="00.0"/>
    <numFmt numFmtId="166" formatCode="0.0"/>
    <numFmt numFmtId="167" formatCode="0000.0"/>
    <numFmt numFmtId="168" formatCode="0.000000000000000"/>
    <numFmt numFmtId="169" formatCode="00.00000000000000"/>
    <numFmt numFmtId="170" formatCode="000.00000000000000"/>
    <numFmt numFmtId="171" formatCode="00000.0"/>
    <numFmt numFmtId="172" formatCode="0000.0000000000000"/>
    <numFmt numFmtId="173" formatCode="0.0000000000000000"/>
    <numFmt numFmtId="174" formatCode="000000.0"/>
    <numFmt numFmtId="175" formatCode="0000.00000000000"/>
    <numFmt numFmtId="176" formatCode="0000.000000000000"/>
    <numFmt numFmtId="177" formatCode="000.0"/>
    <numFmt numFmtId="178" formatCode="00.000000000000000"/>
    <numFmt numFmtId="179" formatCode="000.0000000000000"/>
    <numFmt numFmtId="180" formatCode="000.000000000000"/>
    <numFmt numFmtId="181" formatCode="0000000.0"/>
    <numFmt numFmtId="182" formatCode="0.0E+00"/>
  </numFmts>
  <fonts count="1">
    <font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0">
    <xf fontId="0" fillId="0" borderId="0" numFmtId="0" xfId="0"/>
    <xf fontId="0" fillId="0" borderId="0" numFmtId="14" xfId="0" applyNumberFormat="1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  <xf fontId="0" fillId="0" borderId="0" numFmtId="172" xfId="0" applyNumberFormat="1"/>
    <xf fontId="0" fillId="0" borderId="0" numFmtId="173" xfId="0" applyNumberFormat="1"/>
    <xf fontId="0" fillId="0" borderId="0" numFmtId="174" xfId="0" applyNumberFormat="1"/>
    <xf fontId="0" fillId="0" borderId="0" numFmtId="175" xfId="0" applyNumberFormat="1"/>
    <xf fontId="0" fillId="0" borderId="0" numFmtId="176" xfId="0" applyNumberFormat="1"/>
    <xf fontId="0" fillId="0" borderId="0" numFmtId="177" xfId="0" applyNumberFormat="1"/>
    <xf fontId="0" fillId="0" borderId="0" numFmtId="178" xfId="0" applyNumberFormat="1"/>
    <xf fontId="0" fillId="0" borderId="0" numFmtId="179" xfId="0" applyNumberFormat="1"/>
    <xf fontId="0" fillId="0" borderId="0" numFmtId="180" xfId="0" applyNumberFormat="1"/>
    <xf fontId="0" fillId="0" borderId="0" numFmtId="0" xfId="0">
      <protection hidden="0" locked="1"/>
    </xf>
    <xf fontId="0" fillId="0" borderId="0" numFmtId="181" xfId="0" applyNumberFormat="1"/>
    <xf fontId="0" fillId="0" borderId="0" numFmtId="14" xfId="0" applyNumberFormat="1"/>
    <xf fontId="0" fillId="0" borderId="0" numFmtId="0" xfId="0" applyAlignment="1">
      <alignment horizontal="center"/>
    </xf>
    <xf fontId="0" fillId="2" borderId="0" numFmtId="0" xfId="0" applyFill="1" applyAlignment="1">
      <alignment horizontal="center"/>
    </xf>
    <xf fontId="0" fillId="3" borderId="0" numFmtId="0" xfId="0" applyFill="1" applyAlignment="1">
      <alignment horizontal="center"/>
    </xf>
    <xf fontId="0" fillId="0" borderId="0" numFmtId="1" xfId="0" applyNumberFormat="1" applyAlignment="1">
      <alignment horizontal="center"/>
    </xf>
    <xf fontId="0" fillId="0" borderId="0" numFmtId="165" xfId="0" applyNumberFormat="1" applyAlignment="1">
      <alignment horizontal="center"/>
    </xf>
    <xf fontId="0" fillId="3" borderId="0" numFmtId="1" xfId="0" applyNumberFormat="1" applyFill="1" applyAlignment="1">
      <alignment horizontal="center"/>
    </xf>
    <xf fontId="0" fillId="0" borderId="0" numFmtId="182" xfId="0" applyNumberFormat="1" applyAlignment="1">
      <alignment horizontal="center"/>
      <protection hidden="0" locked="1"/>
    </xf>
    <xf fontId="0" fillId="0" borderId="0" numFmtId="182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55" zoomScale="100" workbookViewId="0">
      <selection activeCell="A1" activeCellId="0" sqref="A1"/>
    </sheetView>
  </sheetViews>
  <sheetFormatPr baseColWidth="9" defaultRowHeight="14.25"/>
  <cols>
    <col bestFit="1" min="2" max="2" width="10.421875"/>
    <col customWidth="1" min="12" max="12" width="21.57421875"/>
    <col customWidth="1" min="14" max="14" width="17.7109375"/>
    <col customWidth="1" min="15" max="15" width="17.57421875"/>
    <col bestFit="1" min="16" max="16" width="17.28125"/>
    <col customWidth="1" min="18" max="18" width="17.8515625"/>
  </cols>
  <sheetData>
    <row r="1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>
      <c r="A2" t="s">
        <v>15</v>
      </c>
      <c r="B2" s="1">
        <v>45987</v>
      </c>
      <c r="D2" t="s">
        <v>16</v>
      </c>
      <c r="E2" t="s">
        <v>17</v>
      </c>
      <c r="F2">
        <v>10</v>
      </c>
      <c r="G2">
        <v>0</v>
      </c>
      <c r="I2">
        <v>0</v>
      </c>
      <c r="J2">
        <v>1</v>
      </c>
      <c r="K2">
        <v>0</v>
      </c>
      <c r="L2" s="2">
        <v>0.287603</v>
      </c>
      <c r="N2" s="3">
        <v>39</v>
      </c>
      <c r="O2" s="3">
        <v>39</v>
      </c>
      <c r="P2" s="4">
        <v>0</v>
      </c>
      <c r="Q2">
        <v>7</v>
      </c>
      <c r="R2" s="5">
        <v>3843</v>
      </c>
    </row>
    <row r="3">
      <c r="A3" t="s">
        <v>18</v>
      </c>
      <c r="B3" s="1">
        <v>45987</v>
      </c>
      <c r="D3" t="s">
        <v>16</v>
      </c>
      <c r="E3" t="s">
        <v>17</v>
      </c>
      <c r="F3">
        <v>10</v>
      </c>
      <c r="G3">
        <v>0</v>
      </c>
      <c r="I3">
        <v>1</v>
      </c>
      <c r="J3">
        <v>1</v>
      </c>
      <c r="K3">
        <v>1</v>
      </c>
      <c r="L3" s="6">
        <v>4.5383750000000003</v>
      </c>
      <c r="N3" s="7">
        <v>39</v>
      </c>
      <c r="O3" s="7">
        <v>39</v>
      </c>
      <c r="P3" s="4">
        <v>0</v>
      </c>
      <c r="Q3">
        <v>8</v>
      </c>
      <c r="R3" s="5">
        <v>6767</v>
      </c>
    </row>
    <row r="4">
      <c r="A4" t="s">
        <v>19</v>
      </c>
      <c r="B4" s="1">
        <v>45987</v>
      </c>
      <c r="D4" t="s">
        <v>16</v>
      </c>
      <c r="E4" t="s">
        <v>17</v>
      </c>
      <c r="F4">
        <v>15</v>
      </c>
      <c r="G4">
        <v>0</v>
      </c>
      <c r="I4">
        <v>0</v>
      </c>
      <c r="J4">
        <v>1</v>
      </c>
      <c r="K4">
        <v>0</v>
      </c>
      <c r="L4" s="8">
        <v>102.09389</v>
      </c>
      <c r="N4" s="3">
        <v>45</v>
      </c>
      <c r="O4" s="7">
        <v>45</v>
      </c>
      <c r="P4" s="4">
        <v>0</v>
      </c>
      <c r="Q4">
        <v>10</v>
      </c>
      <c r="R4" s="9">
        <v>65175</v>
      </c>
    </row>
    <row r="5">
      <c r="A5" t="s">
        <v>20</v>
      </c>
      <c r="B5" s="1">
        <v>45987</v>
      </c>
      <c r="D5" t="s">
        <v>16</v>
      </c>
      <c r="E5" t="s">
        <v>17</v>
      </c>
      <c r="F5">
        <v>15</v>
      </c>
      <c r="G5">
        <v>0</v>
      </c>
      <c r="I5">
        <v>1</v>
      </c>
      <c r="J5">
        <v>1</v>
      </c>
      <c r="K5">
        <v>1</v>
      </c>
      <c r="L5" s="8">
        <v>304.16453799999999</v>
      </c>
      <c r="N5" s="3">
        <v>45</v>
      </c>
      <c r="O5" s="3">
        <v>45</v>
      </c>
      <c r="P5" s="4">
        <v>0</v>
      </c>
      <c r="Q5">
        <v>10</v>
      </c>
      <c r="R5" s="9">
        <v>22317</v>
      </c>
    </row>
    <row r="6">
      <c r="A6" t="s">
        <v>21</v>
      </c>
      <c r="B6" s="1">
        <v>45987</v>
      </c>
      <c r="D6" t="s">
        <v>16</v>
      </c>
      <c r="E6" t="s">
        <v>17</v>
      </c>
      <c r="F6">
        <v>20</v>
      </c>
      <c r="G6">
        <v>0</v>
      </c>
      <c r="I6">
        <v>0</v>
      </c>
      <c r="J6">
        <v>1</v>
      </c>
      <c r="K6">
        <v>0</v>
      </c>
      <c r="L6" s="10">
        <v>3600.0513740000001</v>
      </c>
      <c r="N6" s="3">
        <v>76</v>
      </c>
      <c r="O6" s="7">
        <v>50</v>
      </c>
      <c r="P6" s="11">
        <v>0.34210499999999999</v>
      </c>
      <c r="Q6">
        <v>10</v>
      </c>
      <c r="R6" s="12">
        <v>750990</v>
      </c>
    </row>
    <row r="7">
      <c r="A7" t="s">
        <v>22</v>
      </c>
      <c r="B7" s="1">
        <v>45987</v>
      </c>
      <c r="D7" t="s">
        <v>16</v>
      </c>
      <c r="E7" t="s">
        <v>17</v>
      </c>
      <c r="F7">
        <v>20</v>
      </c>
      <c r="G7">
        <v>0</v>
      </c>
      <c r="I7">
        <v>1</v>
      </c>
      <c r="J7">
        <v>1</v>
      </c>
      <c r="K7">
        <v>1</v>
      </c>
      <c r="L7" s="13">
        <v>3600.085411</v>
      </c>
      <c r="N7" s="7">
        <v>77</v>
      </c>
      <c r="O7" s="3">
        <v>48</v>
      </c>
      <c r="P7" s="11">
        <v>0.37662299999999999</v>
      </c>
      <c r="Q7">
        <v>10</v>
      </c>
      <c r="R7" s="9">
        <v>56923</v>
      </c>
    </row>
    <row r="8">
      <c r="A8" t="s">
        <v>23</v>
      </c>
      <c r="B8" s="1">
        <v>45987</v>
      </c>
      <c r="D8" t="s">
        <v>16</v>
      </c>
      <c r="E8" t="s">
        <v>17</v>
      </c>
      <c r="F8">
        <v>25</v>
      </c>
      <c r="G8">
        <v>0</v>
      </c>
      <c r="I8">
        <v>0</v>
      </c>
      <c r="J8">
        <v>1</v>
      </c>
      <c r="K8">
        <v>0</v>
      </c>
      <c r="L8" s="10">
        <v>3600.0606250000001</v>
      </c>
      <c r="N8" s="3">
        <v>70</v>
      </c>
      <c r="O8" s="3">
        <v>34</v>
      </c>
      <c r="P8" s="11">
        <v>0.51428600000000002</v>
      </c>
      <c r="Q8">
        <v>10</v>
      </c>
      <c r="R8" s="12">
        <v>800551</v>
      </c>
    </row>
    <row r="9">
      <c r="A9" t="s">
        <v>24</v>
      </c>
      <c r="B9" s="1">
        <v>45987</v>
      </c>
      <c r="D9" t="s">
        <v>16</v>
      </c>
      <c r="E9" t="s">
        <v>17</v>
      </c>
      <c r="F9">
        <v>25</v>
      </c>
      <c r="G9">
        <v>0</v>
      </c>
      <c r="I9">
        <v>1</v>
      </c>
      <c r="J9">
        <v>1</v>
      </c>
      <c r="K9">
        <v>1</v>
      </c>
      <c r="L9" s="10">
        <v>3600.1502129999999</v>
      </c>
      <c r="N9" s="7">
        <v>70</v>
      </c>
      <c r="O9" s="3">
        <v>34</v>
      </c>
      <c r="P9" s="11">
        <v>0.51428600000000002</v>
      </c>
      <c r="Q9">
        <v>10</v>
      </c>
      <c r="R9" s="12">
        <v>123816</v>
      </c>
    </row>
    <row r="10">
      <c r="A10" t="s">
        <v>25</v>
      </c>
      <c r="B10" s="1">
        <v>45987</v>
      </c>
      <c r="D10" t="s">
        <v>16</v>
      </c>
      <c r="E10" t="s">
        <v>17</v>
      </c>
      <c r="F10">
        <v>35</v>
      </c>
      <c r="G10">
        <v>0</v>
      </c>
      <c r="I10">
        <v>0</v>
      </c>
      <c r="J10">
        <v>1</v>
      </c>
      <c r="K10">
        <v>0</v>
      </c>
      <c r="L10" s="10">
        <v>3600.1351479999998</v>
      </c>
      <c r="N10" s="3">
        <v>93</v>
      </c>
      <c r="O10" s="3">
        <v>48</v>
      </c>
      <c r="P10" s="11">
        <v>0.483871</v>
      </c>
      <c r="Q10">
        <v>10</v>
      </c>
      <c r="R10" s="12">
        <v>226351</v>
      </c>
    </row>
    <row r="11">
      <c r="A11" t="s">
        <v>26</v>
      </c>
      <c r="B11" s="1">
        <v>45987</v>
      </c>
      <c r="D11" t="s">
        <v>16</v>
      </c>
      <c r="E11" t="s">
        <v>17</v>
      </c>
      <c r="F11">
        <v>35</v>
      </c>
      <c r="G11">
        <v>0</v>
      </c>
      <c r="I11">
        <v>1</v>
      </c>
      <c r="J11">
        <v>1</v>
      </c>
      <c r="K11">
        <v>1</v>
      </c>
      <c r="L11" s="14">
        <v>3600.1165860000001</v>
      </c>
      <c r="N11" s="7">
        <v>92</v>
      </c>
      <c r="O11" s="7">
        <v>48</v>
      </c>
      <c r="P11" s="2">
        <v>0.47826099999999999</v>
      </c>
      <c r="Q11">
        <v>10</v>
      </c>
      <c r="R11" s="9">
        <v>13790</v>
      </c>
    </row>
    <row r="12">
      <c r="A12" t="s">
        <v>27</v>
      </c>
      <c r="B12" s="1">
        <v>45987</v>
      </c>
      <c r="D12" t="s">
        <v>16</v>
      </c>
      <c r="E12" t="s">
        <v>17</v>
      </c>
      <c r="F12">
        <v>50</v>
      </c>
      <c r="G12">
        <v>0</v>
      </c>
      <c r="I12">
        <v>0</v>
      </c>
      <c r="J12">
        <v>1</v>
      </c>
      <c r="K12">
        <v>0</v>
      </c>
      <c r="L12" s="10">
        <v>3600.2012159999999</v>
      </c>
      <c r="N12" s="15">
        <v>180</v>
      </c>
      <c r="O12" s="3">
        <v>35</v>
      </c>
      <c r="P12" s="11">
        <v>0.80555600000000005</v>
      </c>
      <c r="Q12">
        <v>5</v>
      </c>
      <c r="R12" s="9">
        <v>13561</v>
      </c>
    </row>
    <row r="13">
      <c r="A13" t="s">
        <v>28</v>
      </c>
      <c r="B13" s="1">
        <v>45987</v>
      </c>
      <c r="D13" t="s">
        <v>16</v>
      </c>
      <c r="E13" t="s">
        <v>17</v>
      </c>
      <c r="F13">
        <v>50</v>
      </c>
      <c r="G13">
        <v>0</v>
      </c>
      <c r="I13">
        <v>1</v>
      </c>
      <c r="J13">
        <v>1</v>
      </c>
      <c r="K13">
        <v>1</v>
      </c>
      <c r="L13" s="13">
        <v>3600.3071239999999</v>
      </c>
      <c r="N13" s="8">
        <v>145</v>
      </c>
      <c r="O13" s="16">
        <v>40</v>
      </c>
      <c r="P13" s="6">
        <v>0.72413799999999995</v>
      </c>
      <c r="Q13">
        <v>10</v>
      </c>
      <c r="R13" s="15">
        <v>399</v>
      </c>
    </row>
    <row r="14"/>
    <row r="15">
      <c r="A15" t="s">
        <v>29</v>
      </c>
      <c r="B15" s="1">
        <v>45987</v>
      </c>
      <c r="D15" t="s">
        <v>30</v>
      </c>
      <c r="E15" t="s">
        <v>17</v>
      </c>
      <c r="F15">
        <v>10</v>
      </c>
      <c r="G15">
        <v>0</v>
      </c>
      <c r="I15">
        <v>0</v>
      </c>
      <c r="J15">
        <v>1</v>
      </c>
      <c r="K15">
        <v>0</v>
      </c>
      <c r="L15" s="11">
        <v>1.152334</v>
      </c>
      <c r="N15" s="3">
        <v>39</v>
      </c>
      <c r="O15" s="3">
        <v>39</v>
      </c>
      <c r="P15" s="4">
        <v>0</v>
      </c>
      <c r="Q15">
        <v>9</v>
      </c>
      <c r="R15" s="9">
        <v>16070</v>
      </c>
    </row>
    <row r="16">
      <c r="A16" t="s">
        <v>31</v>
      </c>
      <c r="B16" s="1">
        <v>45987</v>
      </c>
      <c r="D16" t="s">
        <v>30</v>
      </c>
      <c r="E16" t="s">
        <v>17</v>
      </c>
      <c r="F16">
        <v>10</v>
      </c>
      <c r="G16">
        <v>0</v>
      </c>
      <c r="I16">
        <v>1</v>
      </c>
      <c r="J16">
        <v>1</v>
      </c>
      <c r="K16">
        <v>1</v>
      </c>
      <c r="L16" s="11">
        <v>2.2404160000000002</v>
      </c>
      <c r="N16" s="3">
        <v>39</v>
      </c>
      <c r="O16" s="3">
        <v>39</v>
      </c>
      <c r="P16" s="4">
        <v>0</v>
      </c>
      <c r="Q16">
        <v>9</v>
      </c>
      <c r="R16" s="5">
        <v>1407</v>
      </c>
    </row>
    <row r="17">
      <c r="A17" t="s">
        <v>32</v>
      </c>
      <c r="B17" s="1">
        <v>45987</v>
      </c>
      <c r="D17" t="s">
        <v>30</v>
      </c>
      <c r="E17" t="s">
        <v>17</v>
      </c>
      <c r="F17">
        <v>15</v>
      </c>
      <c r="G17">
        <v>0</v>
      </c>
      <c r="I17">
        <v>0</v>
      </c>
      <c r="J17">
        <v>1</v>
      </c>
      <c r="K17">
        <v>0</v>
      </c>
      <c r="L17" s="8">
        <v>236.69838999999999</v>
      </c>
      <c r="N17" s="3">
        <v>45</v>
      </c>
      <c r="O17" s="3">
        <v>45</v>
      </c>
      <c r="P17" s="4">
        <v>0</v>
      </c>
      <c r="Q17">
        <v>10</v>
      </c>
      <c r="R17" s="12">
        <v>163345</v>
      </c>
    </row>
    <row r="18">
      <c r="A18" t="s">
        <v>33</v>
      </c>
      <c r="B18" s="1">
        <v>45987</v>
      </c>
      <c r="D18" t="s">
        <v>30</v>
      </c>
      <c r="E18" t="s">
        <v>17</v>
      </c>
      <c r="F18">
        <v>15</v>
      </c>
      <c r="G18">
        <v>0</v>
      </c>
      <c r="I18">
        <v>1</v>
      </c>
      <c r="J18">
        <v>1</v>
      </c>
      <c r="K18">
        <v>1</v>
      </c>
      <c r="L18" s="17">
        <v>738.59267899999998</v>
      </c>
      <c r="N18" s="7">
        <v>45</v>
      </c>
      <c r="O18" s="7">
        <v>45</v>
      </c>
      <c r="P18" s="4">
        <v>0</v>
      </c>
      <c r="Q18">
        <v>10</v>
      </c>
      <c r="R18" s="9">
        <v>39475</v>
      </c>
    </row>
    <row r="19">
      <c r="A19" t="s">
        <v>34</v>
      </c>
      <c r="B19" s="1">
        <v>45987</v>
      </c>
      <c r="D19" t="s">
        <v>30</v>
      </c>
      <c r="E19" t="s">
        <v>17</v>
      </c>
      <c r="F19">
        <v>20</v>
      </c>
      <c r="G19">
        <v>0</v>
      </c>
      <c r="I19">
        <v>0</v>
      </c>
      <c r="J19">
        <v>1</v>
      </c>
      <c r="K19">
        <v>0</v>
      </c>
      <c r="L19" s="10">
        <v>3600.0627899999999</v>
      </c>
      <c r="N19" s="3">
        <v>78</v>
      </c>
      <c r="O19" s="3">
        <v>50</v>
      </c>
      <c r="P19" s="6">
        <v>0.35897400000000002</v>
      </c>
      <c r="Q19">
        <v>10</v>
      </c>
      <c r="R19" s="12">
        <v>631948</v>
      </c>
    </row>
    <row r="20">
      <c r="A20" t="s">
        <v>35</v>
      </c>
      <c r="B20" s="1">
        <v>45988</v>
      </c>
      <c r="D20" t="s">
        <v>30</v>
      </c>
      <c r="E20" t="s">
        <v>17</v>
      </c>
      <c r="F20">
        <v>20</v>
      </c>
      <c r="G20">
        <v>0</v>
      </c>
      <c r="I20">
        <v>1</v>
      </c>
      <c r="J20">
        <v>1</v>
      </c>
      <c r="K20">
        <v>1</v>
      </c>
      <c r="L20" s="14">
        <v>3600.0512450000001</v>
      </c>
      <c r="N20" s="7">
        <v>80</v>
      </c>
      <c r="O20" s="3">
        <v>48</v>
      </c>
      <c r="P20" s="11">
        <v>0.40000000000000002</v>
      </c>
      <c r="Q20">
        <v>10</v>
      </c>
      <c r="R20" s="12">
        <v>128832</v>
      </c>
    </row>
    <row r="21">
      <c r="A21" t="s">
        <v>36</v>
      </c>
      <c r="B21" s="1">
        <v>45988</v>
      </c>
      <c r="D21" t="s">
        <v>30</v>
      </c>
      <c r="E21" t="s">
        <v>17</v>
      </c>
      <c r="F21">
        <v>25</v>
      </c>
      <c r="G21">
        <v>0</v>
      </c>
      <c r="I21">
        <v>0</v>
      </c>
      <c r="J21">
        <v>1</v>
      </c>
      <c r="K21">
        <v>0</v>
      </c>
      <c r="L21" s="10">
        <v>3600.072588</v>
      </c>
      <c r="N21" s="3">
        <v>69</v>
      </c>
      <c r="O21" s="3">
        <v>34</v>
      </c>
      <c r="P21" s="11">
        <v>0.50724599999999997</v>
      </c>
      <c r="Q21">
        <v>10</v>
      </c>
      <c r="R21" s="12">
        <v>570579</v>
      </c>
    </row>
    <row r="22">
      <c r="A22" t="s">
        <v>37</v>
      </c>
      <c r="B22" s="1">
        <v>45988</v>
      </c>
      <c r="D22" t="s">
        <v>30</v>
      </c>
      <c r="E22" t="s">
        <v>17</v>
      </c>
      <c r="F22">
        <v>25</v>
      </c>
      <c r="G22">
        <v>0</v>
      </c>
      <c r="I22">
        <v>1</v>
      </c>
      <c r="J22">
        <v>1</v>
      </c>
      <c r="K22">
        <v>1</v>
      </c>
      <c r="L22" s="10">
        <v>3600.4985609999999</v>
      </c>
      <c r="N22" s="7">
        <v>71</v>
      </c>
      <c r="O22" s="7">
        <v>34</v>
      </c>
      <c r="P22" s="11">
        <v>0.52112700000000001</v>
      </c>
      <c r="Q22">
        <v>10</v>
      </c>
      <c r="R22" s="9">
        <v>49339</v>
      </c>
    </row>
    <row r="23">
      <c r="A23" t="s">
        <v>38</v>
      </c>
      <c r="B23" s="1">
        <v>45988</v>
      </c>
      <c r="D23" t="s">
        <v>30</v>
      </c>
      <c r="E23" t="s">
        <v>17</v>
      </c>
      <c r="F23">
        <v>35</v>
      </c>
      <c r="G23">
        <v>0</v>
      </c>
      <c r="I23">
        <v>0</v>
      </c>
      <c r="J23">
        <v>1</v>
      </c>
      <c r="K23">
        <v>0</v>
      </c>
      <c r="L23" s="10">
        <v>3600.1523160000002</v>
      </c>
      <c r="N23" s="3">
        <v>93</v>
      </c>
      <c r="O23" s="3">
        <v>48</v>
      </c>
      <c r="P23" s="11">
        <v>0.483871</v>
      </c>
      <c r="Q23">
        <v>10</v>
      </c>
      <c r="R23" s="12">
        <v>195065</v>
      </c>
    </row>
    <row r="24">
      <c r="A24" t="s">
        <v>39</v>
      </c>
      <c r="B24" s="1">
        <v>45988</v>
      </c>
      <c r="D24" t="s">
        <v>30</v>
      </c>
      <c r="E24" t="s">
        <v>17</v>
      </c>
      <c r="F24">
        <v>35</v>
      </c>
      <c r="G24">
        <v>0</v>
      </c>
      <c r="I24">
        <v>1</v>
      </c>
      <c r="J24">
        <v>1</v>
      </c>
      <c r="K24">
        <v>1</v>
      </c>
      <c r="L24" s="10">
        <v>3600.1408740000002</v>
      </c>
      <c r="N24" s="7">
        <v>93</v>
      </c>
      <c r="O24" s="3">
        <v>48</v>
      </c>
      <c r="P24" s="2">
        <v>0.483871</v>
      </c>
      <c r="Q24">
        <v>10</v>
      </c>
      <c r="R24" s="9">
        <v>19209</v>
      </c>
    </row>
    <row r="25">
      <c r="A25" t="s">
        <v>40</v>
      </c>
      <c r="B25" s="1">
        <v>45988</v>
      </c>
      <c r="D25" t="s">
        <v>30</v>
      </c>
      <c r="E25" t="s">
        <v>17</v>
      </c>
      <c r="F25">
        <v>50</v>
      </c>
      <c r="G25">
        <v>0</v>
      </c>
      <c r="I25">
        <v>0</v>
      </c>
      <c r="J25">
        <v>1</v>
      </c>
      <c r="K25">
        <v>0</v>
      </c>
      <c r="L25" s="10">
        <v>3600.1714729999999</v>
      </c>
      <c r="N25" s="15">
        <v>191</v>
      </c>
      <c r="O25" s="3">
        <v>35</v>
      </c>
      <c r="P25" s="11">
        <v>0.81675399999999998</v>
      </c>
      <c r="Q25">
        <v>2</v>
      </c>
      <c r="R25" s="5">
        <v>5150</v>
      </c>
    </row>
    <row r="26">
      <c r="A26" t="s">
        <v>41</v>
      </c>
      <c r="B26" s="1">
        <v>45988</v>
      </c>
      <c r="D26" t="s">
        <v>30</v>
      </c>
      <c r="E26" t="s">
        <v>17</v>
      </c>
      <c r="F26">
        <v>50</v>
      </c>
      <c r="G26">
        <v>0</v>
      </c>
      <c r="I26">
        <v>1</v>
      </c>
      <c r="J26">
        <v>1</v>
      </c>
      <c r="K26">
        <v>1</v>
      </c>
      <c r="L26" s="14">
        <v>3600.2945669999999</v>
      </c>
      <c r="N26" s="8">
        <v>153</v>
      </c>
      <c r="O26" s="7">
        <v>40</v>
      </c>
      <c r="P26" s="11">
        <v>0.73856200000000005</v>
      </c>
      <c r="Q26">
        <v>10</v>
      </c>
      <c r="R26" s="4">
        <v>1</v>
      </c>
    </row>
    <row r="27"/>
    <row r="28">
      <c r="A28" t="s">
        <v>42</v>
      </c>
      <c r="B28" s="1">
        <v>45988</v>
      </c>
      <c r="D28" t="s">
        <v>43</v>
      </c>
      <c r="E28" t="s">
        <v>17</v>
      </c>
      <c r="F28">
        <v>10</v>
      </c>
      <c r="G28">
        <v>0</v>
      </c>
      <c r="I28">
        <v>0</v>
      </c>
      <c r="J28">
        <v>1</v>
      </c>
      <c r="K28">
        <v>0</v>
      </c>
      <c r="L28" s="11">
        <v>0.67477299999999996</v>
      </c>
      <c r="N28" s="7">
        <v>39</v>
      </c>
      <c r="O28" s="7">
        <v>39</v>
      </c>
      <c r="P28" s="4">
        <v>0</v>
      </c>
      <c r="Q28">
        <v>7</v>
      </c>
      <c r="R28" s="5">
        <v>7853</v>
      </c>
    </row>
    <row r="29">
      <c r="A29" t="s">
        <v>44</v>
      </c>
      <c r="B29" s="1">
        <v>45988</v>
      </c>
      <c r="D29" t="s">
        <v>43</v>
      </c>
      <c r="E29" t="s">
        <v>17</v>
      </c>
      <c r="F29">
        <v>10</v>
      </c>
      <c r="G29">
        <v>0</v>
      </c>
      <c r="I29">
        <v>1</v>
      </c>
      <c r="J29">
        <v>1</v>
      </c>
      <c r="K29">
        <v>1</v>
      </c>
      <c r="L29" s="6">
        <v>6.9590620000000003</v>
      </c>
      <c r="N29" s="7">
        <v>39</v>
      </c>
      <c r="O29" s="7">
        <v>39</v>
      </c>
      <c r="P29" s="4">
        <v>0</v>
      </c>
      <c r="Q29">
        <v>10</v>
      </c>
      <c r="R29" s="5">
        <v>5224</v>
      </c>
    </row>
    <row r="30">
      <c r="A30" t="s">
        <v>45</v>
      </c>
      <c r="B30" s="1">
        <v>45988</v>
      </c>
      <c r="D30" t="s">
        <v>43</v>
      </c>
      <c r="E30" t="s">
        <v>17</v>
      </c>
      <c r="F30">
        <v>15</v>
      </c>
      <c r="G30">
        <v>0</v>
      </c>
      <c r="I30">
        <v>0</v>
      </c>
      <c r="J30">
        <v>1</v>
      </c>
      <c r="K30">
        <v>0</v>
      </c>
      <c r="L30" s="7">
        <v>61.015376000000003</v>
      </c>
      <c r="N30" s="3">
        <v>45</v>
      </c>
      <c r="O30" s="3">
        <v>45</v>
      </c>
      <c r="P30" s="4">
        <v>0</v>
      </c>
      <c r="Q30">
        <v>10</v>
      </c>
      <c r="R30" s="9">
        <v>42281</v>
      </c>
    </row>
    <row r="31">
      <c r="A31" t="s">
        <v>46</v>
      </c>
      <c r="B31" s="1">
        <v>45988</v>
      </c>
      <c r="D31" t="s">
        <v>43</v>
      </c>
      <c r="E31" t="s">
        <v>17</v>
      </c>
      <c r="F31">
        <v>15</v>
      </c>
      <c r="G31">
        <v>0</v>
      </c>
      <c r="I31">
        <v>1</v>
      </c>
      <c r="J31">
        <v>1</v>
      </c>
      <c r="K31">
        <v>1</v>
      </c>
      <c r="L31" s="8">
        <v>355.77056900000002</v>
      </c>
      <c r="N31" s="3">
        <v>45</v>
      </c>
      <c r="O31" s="3">
        <v>45</v>
      </c>
      <c r="P31" s="4">
        <v>0</v>
      </c>
      <c r="Q31">
        <v>10</v>
      </c>
      <c r="R31" s="9">
        <v>26959</v>
      </c>
    </row>
    <row r="32">
      <c r="A32" t="s">
        <v>47</v>
      </c>
      <c r="B32" s="1">
        <v>45988</v>
      </c>
      <c r="D32" t="s">
        <v>43</v>
      </c>
      <c r="E32" t="s">
        <v>17</v>
      </c>
      <c r="F32">
        <v>20</v>
      </c>
      <c r="G32">
        <v>0</v>
      </c>
      <c r="I32">
        <v>0</v>
      </c>
      <c r="J32">
        <v>1</v>
      </c>
      <c r="K32">
        <v>0</v>
      </c>
      <c r="L32" s="10">
        <v>3600.073054</v>
      </c>
      <c r="N32" s="3">
        <v>78</v>
      </c>
      <c r="O32" s="3">
        <v>48</v>
      </c>
      <c r="P32" s="2">
        <v>0.38461499999999998</v>
      </c>
      <c r="Q32">
        <v>10</v>
      </c>
      <c r="R32" s="12">
        <v>472976</v>
      </c>
    </row>
    <row r="33">
      <c r="A33" t="s">
        <v>48</v>
      </c>
      <c r="B33" s="1">
        <v>45988</v>
      </c>
      <c r="D33" t="s">
        <v>43</v>
      </c>
      <c r="E33" t="s">
        <v>17</v>
      </c>
      <c r="F33">
        <v>20</v>
      </c>
      <c r="G33">
        <v>0</v>
      </c>
      <c r="I33">
        <v>1</v>
      </c>
      <c r="J33">
        <v>1</v>
      </c>
      <c r="K33">
        <v>1</v>
      </c>
      <c r="L33" s="10">
        <v>3600.2722010000002</v>
      </c>
      <c r="N33" s="7">
        <v>80</v>
      </c>
      <c r="O33" s="7">
        <v>48</v>
      </c>
      <c r="P33" s="11">
        <v>0.40000000000000002</v>
      </c>
      <c r="Q33">
        <v>10</v>
      </c>
      <c r="R33" s="9">
        <v>71267</v>
      </c>
    </row>
    <row r="34">
      <c r="A34" t="s">
        <v>49</v>
      </c>
      <c r="B34" s="1">
        <v>45988</v>
      </c>
      <c r="D34" t="s">
        <v>43</v>
      </c>
      <c r="E34" t="s">
        <v>17</v>
      </c>
      <c r="F34">
        <v>25</v>
      </c>
      <c r="G34">
        <v>0</v>
      </c>
      <c r="I34">
        <v>0</v>
      </c>
      <c r="J34">
        <v>1</v>
      </c>
      <c r="K34">
        <v>0</v>
      </c>
      <c r="L34" s="10">
        <v>3600.078121</v>
      </c>
      <c r="N34" s="3">
        <v>72</v>
      </c>
      <c r="O34" s="3">
        <v>34</v>
      </c>
      <c r="P34" s="11">
        <v>0.52777799999999997</v>
      </c>
      <c r="Q34">
        <v>10</v>
      </c>
      <c r="R34" s="12">
        <v>466210</v>
      </c>
    </row>
    <row r="35">
      <c r="A35" t="s">
        <v>50</v>
      </c>
      <c r="B35" s="1">
        <v>45988</v>
      </c>
      <c r="D35" t="s">
        <v>43</v>
      </c>
      <c r="E35" t="s">
        <v>17</v>
      </c>
      <c r="F35">
        <v>25</v>
      </c>
      <c r="G35">
        <v>0</v>
      </c>
      <c r="I35">
        <v>1</v>
      </c>
      <c r="J35">
        <v>1</v>
      </c>
      <c r="K35">
        <v>1</v>
      </c>
      <c r="L35" s="10">
        <v>3600.1053160000001</v>
      </c>
      <c r="N35" s="7">
        <v>73</v>
      </c>
      <c r="O35" s="3">
        <v>34</v>
      </c>
      <c r="P35" s="11">
        <v>0.53424700000000003</v>
      </c>
      <c r="Q35">
        <v>10</v>
      </c>
      <c r="R35" s="9">
        <v>41302</v>
      </c>
    </row>
    <row r="36">
      <c r="A36" t="s">
        <v>51</v>
      </c>
      <c r="B36" s="1">
        <v>45988</v>
      </c>
      <c r="D36" t="s">
        <v>43</v>
      </c>
      <c r="E36" t="s">
        <v>17</v>
      </c>
      <c r="F36">
        <v>35</v>
      </c>
      <c r="G36">
        <v>0</v>
      </c>
      <c r="I36">
        <v>0</v>
      </c>
      <c r="J36">
        <v>1</v>
      </c>
      <c r="K36">
        <v>0</v>
      </c>
      <c r="L36" s="10">
        <v>3600.1417409999999</v>
      </c>
      <c r="N36" s="15">
        <v>101</v>
      </c>
      <c r="O36" s="3">
        <v>48</v>
      </c>
      <c r="P36" s="11">
        <v>0.524752</v>
      </c>
      <c r="Q36">
        <v>10</v>
      </c>
      <c r="R36" s="12">
        <v>134331</v>
      </c>
    </row>
    <row r="37">
      <c r="A37" t="s">
        <v>52</v>
      </c>
      <c r="B37" s="1">
        <v>45988</v>
      </c>
      <c r="D37" t="s">
        <v>43</v>
      </c>
      <c r="E37" t="s">
        <v>17</v>
      </c>
      <c r="F37">
        <v>35</v>
      </c>
      <c r="G37">
        <v>0</v>
      </c>
      <c r="I37">
        <v>1</v>
      </c>
      <c r="J37">
        <v>1</v>
      </c>
      <c r="K37">
        <v>1</v>
      </c>
      <c r="L37" s="13">
        <v>3600.1756019999998</v>
      </c>
      <c r="N37" s="7">
        <v>97</v>
      </c>
      <c r="O37" s="3">
        <v>48</v>
      </c>
      <c r="P37" s="11">
        <v>0.50515500000000002</v>
      </c>
      <c r="Q37">
        <v>10</v>
      </c>
      <c r="R37" s="9">
        <v>13450</v>
      </c>
    </row>
    <row r="38">
      <c r="A38" t="s">
        <v>53</v>
      </c>
      <c r="B38" s="1">
        <v>45988</v>
      </c>
      <c r="D38" t="s">
        <v>43</v>
      </c>
      <c r="E38" t="s">
        <v>17</v>
      </c>
      <c r="F38">
        <v>50</v>
      </c>
      <c r="G38">
        <v>0</v>
      </c>
      <c r="I38">
        <v>0</v>
      </c>
      <c r="J38">
        <v>1</v>
      </c>
      <c r="K38">
        <v>0</v>
      </c>
      <c r="L38" s="14">
        <v>3600.2052050000002</v>
      </c>
      <c r="N38" s="15">
        <v>191.59999999999999</v>
      </c>
      <c r="O38" s="3">
        <v>35</v>
      </c>
      <c r="P38" s="11">
        <v>0.81732800000000005</v>
      </c>
      <c r="Q38">
        <v>1</v>
      </c>
      <c r="R38" s="5">
        <v>2574</v>
      </c>
    </row>
    <row r="39">
      <c r="A39" t="s">
        <v>54</v>
      </c>
      <c r="B39" s="1">
        <v>45988</v>
      </c>
      <c r="D39" t="s">
        <v>43</v>
      </c>
      <c r="E39" t="s">
        <v>17</v>
      </c>
      <c r="F39">
        <v>50</v>
      </c>
      <c r="G39">
        <v>0</v>
      </c>
      <c r="I39">
        <v>1</v>
      </c>
      <c r="J39">
        <v>1</v>
      </c>
      <c r="K39">
        <v>1</v>
      </c>
      <c r="L39" s="14">
        <v>3600.0557880000001</v>
      </c>
      <c r="N39" s="15">
        <v>171</v>
      </c>
      <c r="O39" s="7">
        <v>40</v>
      </c>
      <c r="P39" s="11">
        <v>0.76608200000000004</v>
      </c>
      <c r="Q39">
        <v>10</v>
      </c>
      <c r="R39" s="4">
        <v>1</v>
      </c>
    </row>
    <row r="40"/>
    <row r="41">
      <c r="A41" t="s">
        <v>55</v>
      </c>
      <c r="B41" s="1">
        <v>45988</v>
      </c>
      <c r="D41" t="s">
        <v>56</v>
      </c>
      <c r="E41" t="s">
        <v>17</v>
      </c>
      <c r="F41">
        <v>10</v>
      </c>
      <c r="G41">
        <v>0</v>
      </c>
      <c r="I41">
        <v>0</v>
      </c>
      <c r="J41">
        <v>1</v>
      </c>
      <c r="K41">
        <v>0</v>
      </c>
      <c r="L41" s="11">
        <v>0.65614899999999998</v>
      </c>
      <c r="N41" s="3">
        <v>39</v>
      </c>
      <c r="O41" s="3">
        <v>39</v>
      </c>
      <c r="P41" s="4">
        <v>0</v>
      </c>
      <c r="Q41">
        <v>7</v>
      </c>
      <c r="R41" s="5">
        <v>4904</v>
      </c>
    </row>
    <row r="42">
      <c r="A42" t="s">
        <v>57</v>
      </c>
      <c r="B42" s="1">
        <v>45988</v>
      </c>
      <c r="D42" t="s">
        <v>56</v>
      </c>
      <c r="E42" t="s">
        <v>17</v>
      </c>
      <c r="F42">
        <v>10</v>
      </c>
      <c r="G42">
        <v>0</v>
      </c>
      <c r="I42">
        <v>1</v>
      </c>
      <c r="J42">
        <v>1</v>
      </c>
      <c r="K42">
        <v>1</v>
      </c>
      <c r="L42" s="11">
        <v>3.6945709999999998</v>
      </c>
      <c r="N42" s="16">
        <v>39</v>
      </c>
      <c r="O42" s="16">
        <v>39</v>
      </c>
      <c r="P42" s="4">
        <v>0</v>
      </c>
      <c r="Q42">
        <v>9</v>
      </c>
      <c r="R42" s="5">
        <v>2579</v>
      </c>
    </row>
    <row r="43">
      <c r="A43" t="s">
        <v>58</v>
      </c>
      <c r="B43" s="1">
        <v>45988</v>
      </c>
      <c r="D43" t="s">
        <v>56</v>
      </c>
      <c r="E43" t="s">
        <v>17</v>
      </c>
      <c r="F43">
        <v>15</v>
      </c>
      <c r="G43">
        <v>0</v>
      </c>
      <c r="I43">
        <v>0</v>
      </c>
      <c r="J43">
        <v>1</v>
      </c>
      <c r="K43">
        <v>0</v>
      </c>
      <c r="L43" s="18">
        <v>167.42393100000001</v>
      </c>
      <c r="N43" s="3">
        <v>45</v>
      </c>
      <c r="O43" s="3">
        <v>45</v>
      </c>
      <c r="P43" s="4">
        <v>0</v>
      </c>
      <c r="Q43">
        <v>10</v>
      </c>
      <c r="R43" s="12">
        <v>101354</v>
      </c>
    </row>
    <row r="44">
      <c r="A44" t="s">
        <v>59</v>
      </c>
      <c r="B44" s="1">
        <v>45988</v>
      </c>
      <c r="D44" t="s">
        <v>56</v>
      </c>
      <c r="E44" t="s">
        <v>17</v>
      </c>
      <c r="F44">
        <v>15</v>
      </c>
      <c r="G44">
        <v>0</v>
      </c>
      <c r="I44">
        <v>1</v>
      </c>
      <c r="J44">
        <v>1</v>
      </c>
      <c r="K44">
        <v>1</v>
      </c>
      <c r="L44" s="17">
        <v>294.84966200000002</v>
      </c>
      <c r="N44" s="3">
        <v>45</v>
      </c>
      <c r="O44" s="7">
        <v>45</v>
      </c>
      <c r="P44" s="4">
        <v>0</v>
      </c>
      <c r="Q44">
        <v>10</v>
      </c>
      <c r="R44" s="9">
        <v>18025</v>
      </c>
    </row>
    <row r="45">
      <c r="A45" t="s">
        <v>60</v>
      </c>
      <c r="B45" s="1">
        <v>45988</v>
      </c>
      <c r="D45" t="s">
        <v>56</v>
      </c>
      <c r="E45" t="s">
        <v>17</v>
      </c>
      <c r="F45">
        <v>20</v>
      </c>
      <c r="G45">
        <v>0</v>
      </c>
      <c r="I45">
        <v>0</v>
      </c>
      <c r="J45">
        <v>1</v>
      </c>
      <c r="K45">
        <v>0</v>
      </c>
      <c r="L45" s="10">
        <v>3600.0555770000001</v>
      </c>
      <c r="N45" s="3">
        <v>78</v>
      </c>
      <c r="O45" s="16">
        <v>46</v>
      </c>
      <c r="P45" s="11">
        <v>0.41025600000000001</v>
      </c>
      <c r="Q45">
        <v>10</v>
      </c>
      <c r="R45" s="12">
        <v>273400</v>
      </c>
    </row>
    <row r="46">
      <c r="A46" t="s">
        <v>61</v>
      </c>
      <c r="B46" s="1">
        <v>45988</v>
      </c>
      <c r="D46" t="s">
        <v>56</v>
      </c>
      <c r="E46" t="s">
        <v>17</v>
      </c>
      <c r="F46">
        <v>20</v>
      </c>
      <c r="G46">
        <v>0</v>
      </c>
      <c r="I46">
        <v>1</v>
      </c>
      <c r="J46">
        <v>1</v>
      </c>
      <c r="K46">
        <v>1</v>
      </c>
      <c r="L46" s="10">
        <v>3600.0720809999998</v>
      </c>
      <c r="N46" s="7">
        <v>79</v>
      </c>
      <c r="O46" s="7">
        <v>48</v>
      </c>
      <c r="P46" s="2">
        <v>0.392405</v>
      </c>
      <c r="Q46">
        <v>10</v>
      </c>
      <c r="R46" s="9">
        <v>28024</v>
      </c>
    </row>
    <row r="47">
      <c r="A47" t="s">
        <v>62</v>
      </c>
      <c r="B47" s="1">
        <v>45988</v>
      </c>
      <c r="D47" t="s">
        <v>56</v>
      </c>
      <c r="E47" t="s">
        <v>17</v>
      </c>
      <c r="F47">
        <v>25</v>
      </c>
      <c r="G47">
        <v>0</v>
      </c>
      <c r="I47">
        <v>0</v>
      </c>
      <c r="J47">
        <v>1</v>
      </c>
      <c r="K47">
        <v>0</v>
      </c>
      <c r="L47" s="14">
        <v>3600.0678419999999</v>
      </c>
      <c r="N47" s="3">
        <v>71</v>
      </c>
      <c r="O47" s="3">
        <v>34</v>
      </c>
      <c r="P47" s="11">
        <v>0.52112700000000001</v>
      </c>
      <c r="Q47">
        <v>10</v>
      </c>
      <c r="R47" s="12">
        <v>365812</v>
      </c>
    </row>
    <row r="48">
      <c r="A48" t="s">
        <v>63</v>
      </c>
      <c r="B48" s="1">
        <v>45988</v>
      </c>
      <c r="D48" t="s">
        <v>56</v>
      </c>
      <c r="E48" t="s">
        <v>17</v>
      </c>
      <c r="F48">
        <v>25</v>
      </c>
      <c r="G48">
        <v>0</v>
      </c>
      <c r="I48">
        <v>1</v>
      </c>
      <c r="J48">
        <v>1</v>
      </c>
      <c r="K48">
        <v>1</v>
      </c>
      <c r="L48" s="10">
        <v>3600.064895</v>
      </c>
      <c r="N48" s="7">
        <v>71</v>
      </c>
      <c r="O48" s="3">
        <v>34</v>
      </c>
      <c r="P48" s="11">
        <v>0.52112700000000001</v>
      </c>
      <c r="Q48">
        <v>10</v>
      </c>
      <c r="R48" s="9">
        <v>29419</v>
      </c>
    </row>
    <row r="49">
      <c r="A49" t="s">
        <v>64</v>
      </c>
      <c r="B49" s="1">
        <v>45988</v>
      </c>
      <c r="D49" t="s">
        <v>56</v>
      </c>
      <c r="E49" t="s">
        <v>17</v>
      </c>
      <c r="F49">
        <v>35</v>
      </c>
      <c r="G49">
        <v>0</v>
      </c>
      <c r="I49">
        <v>0</v>
      </c>
      <c r="J49">
        <v>1</v>
      </c>
      <c r="K49">
        <v>0</v>
      </c>
      <c r="L49" s="14">
        <v>3600.1637289999999</v>
      </c>
      <c r="N49" s="3">
        <v>98</v>
      </c>
      <c r="O49" s="3">
        <v>48</v>
      </c>
      <c r="P49" s="11">
        <v>0.51020399999999999</v>
      </c>
      <c r="Q49">
        <v>10</v>
      </c>
      <c r="R49" s="9">
        <v>99891</v>
      </c>
    </row>
    <row r="50">
      <c r="A50" t="s">
        <v>65</v>
      </c>
      <c r="B50" s="1">
        <v>45988</v>
      </c>
      <c r="D50" t="s">
        <v>56</v>
      </c>
      <c r="E50" t="s">
        <v>17</v>
      </c>
      <c r="F50">
        <v>35</v>
      </c>
      <c r="G50">
        <v>0</v>
      </c>
      <c r="I50">
        <v>1</v>
      </c>
      <c r="J50">
        <v>1</v>
      </c>
      <c r="K50">
        <v>1</v>
      </c>
      <c r="L50" s="10">
        <v>3600.1494499999999</v>
      </c>
      <c r="N50" s="7">
        <v>99</v>
      </c>
      <c r="O50" s="3">
        <v>48</v>
      </c>
      <c r="P50" s="11">
        <v>0.51515200000000005</v>
      </c>
      <c r="Q50">
        <v>10</v>
      </c>
      <c r="R50" s="5">
        <v>6718</v>
      </c>
    </row>
    <row r="51">
      <c r="A51" t="s">
        <v>66</v>
      </c>
      <c r="B51" s="1">
        <v>45988</v>
      </c>
      <c r="D51" t="s">
        <v>56</v>
      </c>
      <c r="E51" t="s">
        <v>17</v>
      </c>
      <c r="F51">
        <v>50</v>
      </c>
      <c r="G51">
        <v>0</v>
      </c>
      <c r="I51">
        <v>0</v>
      </c>
      <c r="J51">
        <v>1</v>
      </c>
      <c r="K51">
        <v>0</v>
      </c>
      <c r="L51" s="10">
        <v>3600.180809</v>
      </c>
      <c r="N51" s="15">
        <v>191.59999999999999</v>
      </c>
      <c r="O51" s="3">
        <v>35</v>
      </c>
      <c r="P51" s="11">
        <v>0.81732800000000005</v>
      </c>
      <c r="Q51">
        <v>1</v>
      </c>
      <c r="R51" s="5">
        <v>2257</v>
      </c>
    </row>
    <row r="52">
      <c r="A52" t="s">
        <v>67</v>
      </c>
      <c r="B52" s="1">
        <v>45988</v>
      </c>
      <c r="D52" t="s">
        <v>56</v>
      </c>
      <c r="E52" t="s">
        <v>17</v>
      </c>
      <c r="F52">
        <v>50</v>
      </c>
      <c r="G52">
        <v>0</v>
      </c>
      <c r="I52">
        <v>1</v>
      </c>
      <c r="J52">
        <v>1</v>
      </c>
      <c r="K52">
        <v>1</v>
      </c>
      <c r="L52" s="10">
        <v>3600.4579560000002</v>
      </c>
      <c r="N52" s="15">
        <v>171</v>
      </c>
      <c r="O52" s="3">
        <v>40</v>
      </c>
      <c r="P52" s="11">
        <v>0.76608200000000004</v>
      </c>
      <c r="Q52">
        <v>10</v>
      </c>
      <c r="R52" s="4">
        <v>1</v>
      </c>
    </row>
    <row r="53"/>
    <row r="54">
      <c r="A54" s="19" t="s">
        <v>68</v>
      </c>
      <c r="B54" s="1">
        <v>46000</v>
      </c>
      <c r="C54" s="19"/>
      <c r="D54" s="19" t="s">
        <v>69</v>
      </c>
      <c r="E54" s="19" t="s">
        <v>17</v>
      </c>
      <c r="F54" s="19">
        <v>10</v>
      </c>
      <c r="G54" s="19">
        <v>0</v>
      </c>
      <c r="H54" s="19"/>
      <c r="I54" s="19">
        <v>0</v>
      </c>
      <c r="J54" s="19">
        <v>1</v>
      </c>
      <c r="K54" s="19">
        <v>0</v>
      </c>
      <c r="L54" s="11">
        <v>0.57375699999999996</v>
      </c>
      <c r="M54" s="19"/>
      <c r="N54" s="16">
        <v>39</v>
      </c>
      <c r="O54" s="16">
        <v>39</v>
      </c>
      <c r="P54" s="4">
        <v>0</v>
      </c>
      <c r="Q54" s="19">
        <v>7</v>
      </c>
      <c r="R54" s="9">
        <v>11622</v>
      </c>
    </row>
    <row r="55">
      <c r="A55" s="19" t="s">
        <v>70</v>
      </c>
      <c r="B55" s="1">
        <v>46000</v>
      </c>
      <c r="C55" s="19"/>
      <c r="D55" s="19" t="s">
        <v>69</v>
      </c>
      <c r="E55" s="19" t="s">
        <v>17</v>
      </c>
      <c r="F55" s="19">
        <v>10</v>
      </c>
      <c r="G55" s="19">
        <v>0</v>
      </c>
      <c r="H55" s="19"/>
      <c r="I55" s="19">
        <v>1</v>
      </c>
      <c r="J55" s="19">
        <v>1</v>
      </c>
      <c r="K55" s="19">
        <v>1</v>
      </c>
      <c r="L55" s="6">
        <v>2.684091</v>
      </c>
      <c r="M55" s="19"/>
      <c r="N55" s="3">
        <v>39</v>
      </c>
      <c r="O55" s="3">
        <v>39</v>
      </c>
      <c r="P55" s="4">
        <v>0</v>
      </c>
      <c r="Q55" s="19">
        <v>6</v>
      </c>
      <c r="R55" s="5">
        <v>7737</v>
      </c>
    </row>
    <row r="56">
      <c r="A56" s="19" t="s">
        <v>71</v>
      </c>
      <c r="B56" s="1">
        <v>46000</v>
      </c>
      <c r="C56" s="19"/>
      <c r="D56" s="19" t="s">
        <v>69</v>
      </c>
      <c r="E56" s="19" t="s">
        <v>17</v>
      </c>
      <c r="F56" s="19">
        <v>15</v>
      </c>
      <c r="G56" s="19">
        <v>0</v>
      </c>
      <c r="H56" s="19"/>
      <c r="I56" s="19">
        <v>0</v>
      </c>
      <c r="J56" s="19">
        <v>1</v>
      </c>
      <c r="K56" s="19">
        <v>0</v>
      </c>
      <c r="L56" s="16">
        <v>54.300108999999999</v>
      </c>
      <c r="M56" s="19"/>
      <c r="N56" s="3">
        <v>45</v>
      </c>
      <c r="O56" s="3">
        <v>45</v>
      </c>
      <c r="P56" s="4">
        <v>0</v>
      </c>
      <c r="Q56" s="19">
        <v>10</v>
      </c>
      <c r="R56" s="12">
        <v>316234</v>
      </c>
    </row>
    <row r="57">
      <c r="A57" s="19" t="s">
        <v>72</v>
      </c>
      <c r="B57" s="1">
        <v>46000</v>
      </c>
      <c r="C57" s="19"/>
      <c r="D57" s="19" t="s">
        <v>69</v>
      </c>
      <c r="E57" s="19" t="s">
        <v>17</v>
      </c>
      <c r="F57" s="19">
        <v>15</v>
      </c>
      <c r="G57" s="19">
        <v>0</v>
      </c>
      <c r="H57" s="19"/>
      <c r="I57" s="19">
        <v>1</v>
      </c>
      <c r="J57" s="19">
        <v>1</v>
      </c>
      <c r="K57" s="19">
        <v>1</v>
      </c>
      <c r="L57" s="8">
        <v>154.61849900000001</v>
      </c>
      <c r="M57" s="19"/>
      <c r="N57" s="3">
        <v>45</v>
      </c>
      <c r="O57" s="3">
        <v>45</v>
      </c>
      <c r="P57" s="4">
        <v>0</v>
      </c>
      <c r="Q57" s="19">
        <v>10</v>
      </c>
      <c r="R57" s="9">
        <v>37329</v>
      </c>
    </row>
    <row r="58">
      <c r="A58" s="19" t="s">
        <v>73</v>
      </c>
      <c r="B58" s="1">
        <v>46001</v>
      </c>
      <c r="C58" s="19"/>
      <c r="D58" s="19" t="s">
        <v>69</v>
      </c>
      <c r="E58" s="19" t="s">
        <v>17</v>
      </c>
      <c r="F58" s="19">
        <v>20</v>
      </c>
      <c r="G58" s="19">
        <v>0</v>
      </c>
      <c r="H58" s="19"/>
      <c r="I58" s="19">
        <v>0</v>
      </c>
      <c r="J58" s="19">
        <v>1</v>
      </c>
      <c r="K58" s="19">
        <v>0</v>
      </c>
      <c r="L58" s="10">
        <v>3600.0181859999998</v>
      </c>
      <c r="M58" s="19"/>
      <c r="N58" s="3">
        <v>77</v>
      </c>
      <c r="O58" s="3">
        <v>53</v>
      </c>
      <c r="P58" s="11">
        <v>0.31168800000000002</v>
      </c>
      <c r="Q58" s="19">
        <v>10</v>
      </c>
      <c r="R58" s="20">
        <v>4841618</v>
      </c>
    </row>
    <row r="59">
      <c r="A59" s="19" t="s">
        <v>74</v>
      </c>
      <c r="B59" s="1">
        <v>46001</v>
      </c>
      <c r="C59" s="19"/>
      <c r="D59" s="19" t="s">
        <v>69</v>
      </c>
      <c r="E59" s="19" t="s">
        <v>17</v>
      </c>
      <c r="F59" s="19">
        <v>20</v>
      </c>
      <c r="G59" s="19">
        <v>0</v>
      </c>
      <c r="H59" s="19"/>
      <c r="I59" s="19">
        <v>1</v>
      </c>
      <c r="J59" s="19">
        <v>1</v>
      </c>
      <c r="K59" s="19">
        <v>1</v>
      </c>
      <c r="L59" s="10">
        <v>3600.063126</v>
      </c>
      <c r="M59" s="19"/>
      <c r="N59" s="7">
        <v>77</v>
      </c>
      <c r="O59" s="3">
        <v>50</v>
      </c>
      <c r="P59" s="2">
        <v>0.35064899999999999</v>
      </c>
      <c r="Q59" s="19">
        <v>10</v>
      </c>
      <c r="R59" s="12">
        <v>408240</v>
      </c>
    </row>
    <row r="60">
      <c r="A60" s="19" t="s">
        <v>75</v>
      </c>
      <c r="B60" s="1">
        <v>46001</v>
      </c>
      <c r="C60" s="19"/>
      <c r="D60" s="19" t="s">
        <v>69</v>
      </c>
      <c r="E60" s="19" t="s">
        <v>17</v>
      </c>
      <c r="F60" s="19">
        <v>25</v>
      </c>
      <c r="G60" s="19">
        <v>0</v>
      </c>
      <c r="H60" s="19"/>
      <c r="I60" s="19">
        <v>0</v>
      </c>
      <c r="J60" s="19">
        <v>1</v>
      </c>
      <c r="K60" s="19">
        <v>0</v>
      </c>
      <c r="L60" s="10">
        <v>3600.0156809999999</v>
      </c>
      <c r="M60" s="19"/>
      <c r="N60" s="3">
        <v>70</v>
      </c>
      <c r="O60" s="3">
        <v>36</v>
      </c>
      <c r="P60" s="11">
        <v>0.48571399999999998</v>
      </c>
      <c r="Q60" s="19">
        <v>10</v>
      </c>
      <c r="R60" s="20">
        <v>5036289</v>
      </c>
    </row>
    <row r="61">
      <c r="A61" s="19" t="s">
        <v>76</v>
      </c>
      <c r="B61" s="1">
        <v>46001</v>
      </c>
      <c r="C61" s="19"/>
      <c r="D61" s="19" t="s">
        <v>69</v>
      </c>
      <c r="E61" s="19" t="s">
        <v>17</v>
      </c>
      <c r="F61" s="19">
        <v>25</v>
      </c>
      <c r="G61" s="19">
        <v>0</v>
      </c>
      <c r="H61" s="19"/>
      <c r="I61" s="19">
        <v>1</v>
      </c>
      <c r="J61" s="19">
        <v>1</v>
      </c>
      <c r="K61" s="19">
        <v>1</v>
      </c>
      <c r="L61" s="14">
        <v>3600.029329</v>
      </c>
      <c r="M61" s="19"/>
      <c r="N61" s="7">
        <v>69</v>
      </c>
      <c r="O61" s="3">
        <v>34</v>
      </c>
      <c r="P61" s="11">
        <v>0.50724599999999997</v>
      </c>
      <c r="Q61" s="19">
        <v>10</v>
      </c>
      <c r="R61" s="12">
        <v>292201</v>
      </c>
    </row>
    <row r="62">
      <c r="A62" s="19" t="s">
        <v>77</v>
      </c>
      <c r="B62" s="1">
        <v>46001</v>
      </c>
      <c r="C62" s="19"/>
      <c r="D62" s="19" t="s">
        <v>69</v>
      </c>
      <c r="E62" s="19" t="s">
        <v>17</v>
      </c>
      <c r="F62" s="19">
        <v>35</v>
      </c>
      <c r="G62" s="19">
        <v>0</v>
      </c>
      <c r="H62" s="19"/>
      <c r="I62" s="19">
        <v>0</v>
      </c>
      <c r="J62" s="19">
        <v>1</v>
      </c>
      <c r="K62" s="19">
        <v>0</v>
      </c>
      <c r="L62" s="10">
        <v>3600.0301519999998</v>
      </c>
      <c r="M62" s="19"/>
      <c r="N62" s="3">
        <v>94</v>
      </c>
      <c r="O62" s="3">
        <v>48</v>
      </c>
      <c r="P62" s="2">
        <v>0.48936200000000002</v>
      </c>
      <c r="Q62" s="19">
        <v>10</v>
      </c>
      <c r="R62" s="20">
        <v>1605390</v>
      </c>
    </row>
    <row r="63">
      <c r="A63" s="19" t="s">
        <v>78</v>
      </c>
      <c r="B63" s="1">
        <v>46002</v>
      </c>
      <c r="C63" s="19"/>
      <c r="D63" s="19" t="s">
        <v>69</v>
      </c>
      <c r="E63" s="19" t="s">
        <v>17</v>
      </c>
      <c r="F63" s="19">
        <v>35</v>
      </c>
      <c r="G63" s="19">
        <v>0</v>
      </c>
      <c r="H63" s="19"/>
      <c r="I63" s="19">
        <v>1</v>
      </c>
      <c r="J63" s="19">
        <v>1</v>
      </c>
      <c r="K63" s="19">
        <v>1</v>
      </c>
      <c r="L63" s="10">
        <v>3600.0343079999998</v>
      </c>
      <c r="M63" s="19"/>
      <c r="N63" s="7">
        <v>94</v>
      </c>
      <c r="O63" s="3">
        <v>48</v>
      </c>
      <c r="P63" s="11">
        <v>0.48936200000000002</v>
      </c>
      <c r="Q63" s="19">
        <v>10</v>
      </c>
      <c r="R63" s="12">
        <v>110279</v>
      </c>
    </row>
    <row r="64">
      <c r="A64" s="19" t="s">
        <v>79</v>
      </c>
      <c r="B64" s="1">
        <v>46002</v>
      </c>
      <c r="C64" s="19"/>
      <c r="D64" s="19" t="s">
        <v>69</v>
      </c>
      <c r="E64" s="19" t="s">
        <v>17</v>
      </c>
      <c r="F64" s="19">
        <v>50</v>
      </c>
      <c r="G64" s="19">
        <v>0</v>
      </c>
      <c r="H64" s="19"/>
      <c r="I64" s="19">
        <v>0</v>
      </c>
      <c r="J64" s="19">
        <v>1</v>
      </c>
      <c r="K64" s="19">
        <v>0</v>
      </c>
      <c r="L64" s="10">
        <v>3600.0738919999999</v>
      </c>
      <c r="M64" s="19"/>
      <c r="N64" s="15">
        <v>157</v>
      </c>
      <c r="O64" s="3">
        <v>48</v>
      </c>
      <c r="P64" s="11">
        <v>0.694268</v>
      </c>
      <c r="Q64" s="19">
        <v>10</v>
      </c>
      <c r="R64" s="12">
        <v>286549</v>
      </c>
    </row>
    <row r="65">
      <c r="A65" s="19" t="s">
        <v>80</v>
      </c>
      <c r="B65" s="1">
        <v>46002</v>
      </c>
      <c r="C65" s="19"/>
      <c r="D65" s="19" t="s">
        <v>69</v>
      </c>
      <c r="E65" s="19" t="s">
        <v>17</v>
      </c>
      <c r="F65" s="19">
        <v>50</v>
      </c>
      <c r="G65" s="19">
        <v>0</v>
      </c>
      <c r="H65" s="19"/>
      <c r="I65" s="19">
        <v>1</v>
      </c>
      <c r="J65" s="19">
        <v>1</v>
      </c>
      <c r="K65" s="19">
        <v>1</v>
      </c>
      <c r="L65" s="10">
        <v>3600.1201270000001</v>
      </c>
      <c r="M65" s="19"/>
      <c r="N65" s="8">
        <v>153</v>
      </c>
      <c r="O65" s="3">
        <v>35</v>
      </c>
      <c r="P65" s="11">
        <v>0.77124199999999998</v>
      </c>
      <c r="Q65" s="19">
        <v>10</v>
      </c>
      <c r="R65" s="5">
        <v>3369</v>
      </c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</row>
    <row r="67">
      <c r="A67" s="19" t="s">
        <v>81</v>
      </c>
      <c r="B67" s="1">
        <v>46002</v>
      </c>
      <c r="C67" s="19"/>
      <c r="D67" s="19" t="s">
        <v>82</v>
      </c>
      <c r="E67" s="19" t="s">
        <v>17</v>
      </c>
      <c r="F67" s="19">
        <v>10</v>
      </c>
      <c r="G67" s="19">
        <v>0</v>
      </c>
      <c r="H67" s="19"/>
      <c r="I67" s="19">
        <v>0</v>
      </c>
      <c r="J67" s="19">
        <v>1</v>
      </c>
      <c r="K67" s="19">
        <v>0</v>
      </c>
      <c r="L67" s="2">
        <v>0.39334799999999998</v>
      </c>
      <c r="M67" s="19"/>
      <c r="N67" s="3">
        <v>39</v>
      </c>
      <c r="O67" s="3">
        <v>39</v>
      </c>
      <c r="P67" s="4">
        <v>0</v>
      </c>
      <c r="Q67" s="19">
        <v>7</v>
      </c>
      <c r="R67" s="5">
        <v>8856</v>
      </c>
    </row>
    <row r="68">
      <c r="A68" s="19" t="s">
        <v>83</v>
      </c>
      <c r="B68" s="1">
        <v>46002</v>
      </c>
      <c r="C68" s="19"/>
      <c r="D68" s="19" t="s">
        <v>82</v>
      </c>
      <c r="E68" s="19" t="s">
        <v>17</v>
      </c>
      <c r="F68" s="19">
        <v>10</v>
      </c>
      <c r="G68" s="19">
        <v>0</v>
      </c>
      <c r="H68" s="19"/>
      <c r="I68" s="19">
        <v>1</v>
      </c>
      <c r="J68" s="19">
        <v>1</v>
      </c>
      <c r="K68" s="19">
        <v>1</v>
      </c>
      <c r="L68" s="11">
        <v>3.9288530000000002</v>
      </c>
      <c r="M68" s="19"/>
      <c r="N68" s="7">
        <v>39</v>
      </c>
      <c r="O68" s="7">
        <v>39</v>
      </c>
      <c r="P68" s="4">
        <v>0</v>
      </c>
      <c r="Q68" s="19">
        <v>8</v>
      </c>
      <c r="R68" s="5">
        <v>8891</v>
      </c>
    </row>
    <row r="69">
      <c r="A69" s="19" t="s">
        <v>84</v>
      </c>
      <c r="B69" s="1">
        <v>46002</v>
      </c>
      <c r="C69" s="19"/>
      <c r="D69" s="19" t="s">
        <v>82</v>
      </c>
      <c r="E69" s="19" t="s">
        <v>17</v>
      </c>
      <c r="F69" s="19">
        <v>15</v>
      </c>
      <c r="G69" s="19">
        <v>0</v>
      </c>
      <c r="H69" s="19"/>
      <c r="I69" s="19">
        <v>0</v>
      </c>
      <c r="J69" s="19">
        <v>1</v>
      </c>
      <c r="K69" s="19">
        <v>0</v>
      </c>
      <c r="L69" s="8">
        <v>121.477063</v>
      </c>
      <c r="M69" s="19"/>
      <c r="N69" s="3">
        <v>45</v>
      </c>
      <c r="O69" s="3">
        <v>45</v>
      </c>
      <c r="P69" s="4">
        <v>0</v>
      </c>
      <c r="Q69" s="19">
        <v>9</v>
      </c>
      <c r="R69" s="12">
        <v>449129</v>
      </c>
    </row>
    <row r="70">
      <c r="A70" s="19" t="s">
        <v>85</v>
      </c>
      <c r="B70" s="1">
        <v>46002</v>
      </c>
      <c r="C70" s="19"/>
      <c r="D70" s="19" t="s">
        <v>82</v>
      </c>
      <c r="E70" s="19" t="s">
        <v>17</v>
      </c>
      <c r="F70" s="19">
        <v>15</v>
      </c>
      <c r="G70" s="19">
        <v>0</v>
      </c>
      <c r="H70" s="19"/>
      <c r="I70" s="19">
        <v>1</v>
      </c>
      <c r="J70" s="19">
        <v>1</v>
      </c>
      <c r="K70" s="19">
        <v>1</v>
      </c>
      <c r="L70" s="8">
        <v>248.186241</v>
      </c>
      <c r="M70" s="19"/>
      <c r="N70" s="3">
        <v>45</v>
      </c>
      <c r="O70" s="3">
        <v>45</v>
      </c>
      <c r="P70" s="4">
        <v>0</v>
      </c>
      <c r="Q70" s="19">
        <v>10</v>
      </c>
      <c r="R70" s="9">
        <v>79724</v>
      </c>
    </row>
    <row r="71">
      <c r="A71" s="19" t="s">
        <v>86</v>
      </c>
      <c r="B71" s="1">
        <v>46002</v>
      </c>
      <c r="C71" s="19"/>
      <c r="D71" s="19" t="s">
        <v>82</v>
      </c>
      <c r="E71" s="19" t="s">
        <v>17</v>
      </c>
      <c r="F71" s="19">
        <v>20</v>
      </c>
      <c r="G71" s="19">
        <v>0</v>
      </c>
      <c r="H71" s="19"/>
      <c r="I71" s="19">
        <v>0</v>
      </c>
      <c r="J71" s="19">
        <v>1</v>
      </c>
      <c r="K71" s="19">
        <v>0</v>
      </c>
      <c r="L71" s="14">
        <v>3600.016212</v>
      </c>
      <c r="M71" s="19"/>
      <c r="N71" s="3">
        <v>78</v>
      </c>
      <c r="O71" s="3">
        <v>53</v>
      </c>
      <c r="P71" s="2">
        <v>0.32051299999999999</v>
      </c>
      <c r="Q71" s="19">
        <v>10</v>
      </c>
      <c r="R71" s="20">
        <v>3152730</v>
      </c>
    </row>
    <row r="72">
      <c r="A72" s="19" t="s">
        <v>87</v>
      </c>
      <c r="B72" s="21">
        <v>46002</v>
      </c>
      <c r="C72" s="19"/>
      <c r="D72" s="19" t="s">
        <v>82</v>
      </c>
      <c r="E72" s="19" t="s">
        <v>17</v>
      </c>
      <c r="F72" s="19">
        <v>20</v>
      </c>
      <c r="G72" s="19">
        <v>0</v>
      </c>
      <c r="H72" s="19"/>
      <c r="I72" s="19">
        <v>1</v>
      </c>
      <c r="J72" s="19">
        <v>1</v>
      </c>
      <c r="K72" s="19">
        <v>1</v>
      </c>
      <c r="L72" s="14">
        <v>3600.0265570000001</v>
      </c>
      <c r="M72" s="19"/>
      <c r="N72" s="7">
        <v>76</v>
      </c>
      <c r="O72" s="3">
        <v>50</v>
      </c>
      <c r="P72" s="11">
        <v>0.34210499999999999</v>
      </c>
      <c r="Q72" s="19">
        <v>10</v>
      </c>
      <c r="R72" s="12">
        <v>415951</v>
      </c>
    </row>
    <row r="73">
      <c r="A73" s="19" t="s">
        <v>88</v>
      </c>
      <c r="B73" s="21">
        <v>46002</v>
      </c>
      <c r="C73" s="19"/>
      <c r="D73" s="19" t="s">
        <v>82</v>
      </c>
      <c r="E73" s="19" t="s">
        <v>17</v>
      </c>
      <c r="F73" s="19">
        <v>25</v>
      </c>
      <c r="G73" s="19">
        <v>0</v>
      </c>
      <c r="H73" s="19"/>
      <c r="I73" s="19">
        <v>0</v>
      </c>
      <c r="J73" s="19">
        <v>1</v>
      </c>
      <c r="K73" s="19">
        <v>0</v>
      </c>
      <c r="L73" s="10">
        <v>3600.0145630000002</v>
      </c>
      <c r="M73" s="19"/>
      <c r="N73" s="3">
        <v>69</v>
      </c>
      <c r="O73" s="3">
        <v>36</v>
      </c>
      <c r="P73" s="11">
        <v>0.47826099999999999</v>
      </c>
      <c r="Q73" s="19">
        <v>10</v>
      </c>
      <c r="R73" s="20">
        <v>2505409</v>
      </c>
    </row>
    <row r="74" ht="14.25">
      <c r="A74" s="19" t="s">
        <v>89</v>
      </c>
      <c r="B74" s="21">
        <v>46002</v>
      </c>
      <c r="C74" s="19"/>
      <c r="D74" s="19" t="s">
        <v>82</v>
      </c>
      <c r="E74" s="19" t="s">
        <v>17</v>
      </c>
      <c r="F74" s="19">
        <v>25</v>
      </c>
      <c r="G74" s="19">
        <v>0</v>
      </c>
      <c r="H74" s="19"/>
      <c r="I74" s="19">
        <v>1</v>
      </c>
      <c r="J74" s="19">
        <v>1</v>
      </c>
      <c r="K74" s="19">
        <v>1</v>
      </c>
      <c r="L74" s="14">
        <v>3600.0934419999999</v>
      </c>
      <c r="M74" s="19"/>
      <c r="N74" s="7">
        <v>70</v>
      </c>
      <c r="O74" s="3">
        <v>34</v>
      </c>
      <c r="P74" s="11">
        <v>0.51428600000000002</v>
      </c>
      <c r="Q74" s="19">
        <v>10</v>
      </c>
      <c r="R74" s="12">
        <v>334639</v>
      </c>
    </row>
    <row r="75">
      <c r="A75" s="19" t="s">
        <v>90</v>
      </c>
      <c r="B75" s="21">
        <v>46002</v>
      </c>
      <c r="C75" s="19"/>
      <c r="D75" s="19" t="s">
        <v>82</v>
      </c>
      <c r="E75" s="19" t="s">
        <v>17</v>
      </c>
      <c r="F75" s="19">
        <v>35</v>
      </c>
      <c r="G75" s="19">
        <v>0</v>
      </c>
      <c r="H75" s="19"/>
      <c r="I75" s="19">
        <v>0</v>
      </c>
      <c r="J75" s="19">
        <v>1</v>
      </c>
      <c r="K75" s="19">
        <v>0</v>
      </c>
      <c r="L75" s="14">
        <v>3600.0358769999998</v>
      </c>
      <c r="M75" s="19"/>
      <c r="N75" s="3">
        <v>94</v>
      </c>
      <c r="O75" s="3">
        <v>48</v>
      </c>
      <c r="P75" s="2">
        <v>0.48936200000000002</v>
      </c>
      <c r="Q75" s="19">
        <v>10</v>
      </c>
      <c r="R75" s="12">
        <v>959261</v>
      </c>
    </row>
    <row r="76" ht="14.25">
      <c r="A76" s="19" t="s">
        <v>91</v>
      </c>
      <c r="B76" s="21">
        <v>46002</v>
      </c>
      <c r="C76" s="19"/>
      <c r="D76" s="19" t="s">
        <v>82</v>
      </c>
      <c r="E76" s="19" t="s">
        <v>17</v>
      </c>
      <c r="F76" s="19">
        <v>35</v>
      </c>
      <c r="G76" s="19">
        <v>0</v>
      </c>
      <c r="H76" s="19"/>
      <c r="I76" s="19">
        <v>1</v>
      </c>
      <c r="J76" s="19">
        <v>1</v>
      </c>
      <c r="K76" s="19">
        <v>1</v>
      </c>
      <c r="L76" s="10">
        <v>3600.04268</v>
      </c>
      <c r="M76" s="19"/>
      <c r="N76" s="7">
        <v>92</v>
      </c>
      <c r="O76" s="3">
        <v>48</v>
      </c>
      <c r="P76" s="11">
        <v>0.47826099999999999</v>
      </c>
      <c r="Q76" s="19">
        <v>10</v>
      </c>
      <c r="R76" s="9">
        <v>59647</v>
      </c>
    </row>
    <row r="77">
      <c r="A77" s="19" t="s">
        <v>92</v>
      </c>
      <c r="B77" s="21">
        <v>46002</v>
      </c>
      <c r="C77" s="19"/>
      <c r="D77" s="19" t="s">
        <v>82</v>
      </c>
      <c r="E77" s="19" t="s">
        <v>17</v>
      </c>
      <c r="F77" s="19">
        <v>50</v>
      </c>
      <c r="G77" s="19">
        <v>0</v>
      </c>
      <c r="H77" s="19"/>
      <c r="I77" s="19">
        <v>0</v>
      </c>
      <c r="J77" s="19">
        <v>1</v>
      </c>
      <c r="K77" s="19">
        <v>0</v>
      </c>
      <c r="L77" s="10">
        <v>3600.0882729999998</v>
      </c>
      <c r="M77" s="19"/>
      <c r="N77" s="15">
        <v>155</v>
      </c>
      <c r="O77" s="3">
        <v>48</v>
      </c>
      <c r="P77" s="11">
        <v>0.69032300000000002</v>
      </c>
      <c r="Q77" s="19">
        <v>10</v>
      </c>
      <c r="R77" s="12">
        <v>218984</v>
      </c>
    </row>
    <row r="78" ht="14.25">
      <c r="A78" s="19" t="s">
        <v>93</v>
      </c>
      <c r="B78" s="21">
        <v>46002</v>
      </c>
      <c r="C78" s="19"/>
      <c r="D78" s="19" t="s">
        <v>82</v>
      </c>
      <c r="E78" s="19" t="s">
        <v>17</v>
      </c>
      <c r="F78" s="19">
        <v>50</v>
      </c>
      <c r="G78" s="19">
        <v>0</v>
      </c>
      <c r="H78" s="19"/>
      <c r="I78" s="19">
        <v>1</v>
      </c>
      <c r="J78" s="19">
        <v>1</v>
      </c>
      <c r="K78" s="19">
        <v>1</v>
      </c>
      <c r="L78" s="14">
        <v>3600.0548939999999</v>
      </c>
      <c r="M78" s="19"/>
      <c r="N78" s="17">
        <v>150</v>
      </c>
      <c r="O78" s="3">
        <v>35</v>
      </c>
      <c r="P78" s="11">
        <v>0.76666699999999999</v>
      </c>
      <c r="Q78" s="19">
        <v>10</v>
      </c>
      <c r="R78" s="15">
        <v>867</v>
      </c>
    </row>
    <row r="79" ht="14.25"/>
    <row r="80" ht="14.25"/>
    <row r="81"/>
    <row r="82" ht="14.25"/>
    <row r="83" ht="14.25"/>
    <row r="84" ht="14.25"/>
    <row r="85"/>
    <row r="86" ht="14.25"/>
    <row r="87" ht="14.25"/>
    <row r="88" ht="14.25"/>
    <row r="89" ht="14.25"/>
    <row r="90" ht="14.25"/>
    <row r="91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1" zoomScale="100" workbookViewId="0">
      <selection activeCell="A1" activeCellId="0" sqref="A1"/>
    </sheetView>
  </sheetViews>
  <sheetFormatPr defaultRowHeight="14.25"/>
  <cols>
    <col customWidth="1" min="3" max="8" width="9.140625"/>
  </cols>
  <sheetData>
    <row r="1" ht="14.25">
      <c r="C1" s="22" t="s">
        <v>94</v>
      </c>
      <c r="D1" s="22"/>
      <c r="E1" s="22"/>
      <c r="F1" s="22"/>
      <c r="G1" s="22"/>
      <c r="H1" s="22"/>
    </row>
    <row r="2" ht="14.25">
      <c r="C2" s="22" t="s">
        <v>95</v>
      </c>
      <c r="D2" s="22" t="s">
        <v>96</v>
      </c>
      <c r="E2" s="22" t="s">
        <v>97</v>
      </c>
      <c r="F2" s="22" t="s">
        <v>98</v>
      </c>
      <c r="G2" s="22" t="s">
        <v>99</v>
      </c>
      <c r="H2" s="22" t="s">
        <v>100</v>
      </c>
    </row>
    <row r="3" ht="14.25">
      <c r="C3" s="23" t="str">
        <f>IF(Data!L2&lt;3600,IF(Data!L2&lt;120,TEXT(Data!L2,"0.00")&amp;"s",TEXT(Data!L2,"0")&amp;"s"),TEXT(Data!P2*100,"0")&amp;"%")</f>
        <v>0.29s</v>
      </c>
      <c r="D3" s="22" t="str">
        <f>IF(Data!L15&lt;3600,IF(Data!L15&lt;120,TEXT(Data!L15,"0.00")&amp;"s",TEXT(Data!L15,"0")&amp;"s"),TEXT(Data!P15*100,"0")&amp;"%")</f>
        <v>1.15s</v>
      </c>
      <c r="E3" s="22" t="str">
        <f>IF(Data!L28&lt;3600,IF(Data!L28&lt;120,TEXT(Data!L28,"0.00")&amp;"s",TEXT(Data!L28,"0")&amp;"s"),TEXT(Data!P28*100,"0")&amp;"%")</f>
        <v>0.67s</v>
      </c>
      <c r="F3" s="22" t="str">
        <f>IF(Data!L41&lt;3600,IF(Data!L41&lt;120,TEXT(Data!L41,"0.00")&amp;"s",TEXT(Data!L41,"0")&amp;"s"),TEXT(Data!P41*100,"0")&amp;"%")</f>
        <v>0.66s</v>
      </c>
      <c r="G3" s="22" t="str">
        <f>IF(Data!L54&lt;3600,IF(Data!L54&lt;120,TEXT(Data!L54,"0.00")&amp;"s",TEXT(Data!L54,"0")&amp;"s"),TEXT(Data!P54*100,"0")&amp;"%")</f>
        <v>0.57s</v>
      </c>
      <c r="H3" s="22" t="str">
        <f>IF(Data!L67&lt;3600,IF(Data!L67&lt;120,TEXT(Data!L67,"0.00")&amp;"s",TEXT(Data!L67,"0")&amp;"s"),TEXT(Data!P67*100,"0")&amp;"%")</f>
        <v>0.39s</v>
      </c>
    </row>
    <row r="4" ht="14.25">
      <c r="C4" s="22" t="str">
        <f>IF(Data!L3&lt;3600,IF(Data!L3&lt;100,TEXT(Data!L3,"0.00")&amp;"s",TEXT(Data!L3,"0")&amp;"s"),TEXT(Data!P3*100,"0")&amp;"%")</f>
        <v>4.54s</v>
      </c>
      <c r="D4" s="22" t="str">
        <f>IF(Data!L16&lt;3600,IF(Data!L16&lt;120,TEXT(Data!L16,"0.00")&amp;"s",TEXT(Data!L16,"0")&amp;"s"),TEXT(Data!P16*100,"0")&amp;"%")</f>
        <v>2.24s</v>
      </c>
      <c r="E4" s="24" t="str">
        <f>IF(Data!L29&lt;3600,IF(Data!L29&lt;120,TEXT(Data!L29,"0.00")&amp;"s",TEXT(Data!L29,"0")&amp;"s"),TEXT(Data!P29*100,"0")&amp;"%")</f>
        <v>6.96s</v>
      </c>
      <c r="F4" s="22" t="str">
        <f>IF(Data!L42&lt;3600,IF(Data!L42&lt;120,TEXT(Data!L42,"0.00")&amp;"s",TEXT(Data!L42,"0")&amp;"s"),TEXT(Data!P42*100,"0")&amp;"%")</f>
        <v>3.69s</v>
      </c>
      <c r="G4" s="22" t="str">
        <f>IF(Data!L55&lt;3600,IF(Data!L55&lt;120,TEXT(Data!L55,"0.00")&amp;"s",TEXT(Data!L55,"0")&amp;"s"),TEXT(Data!P55*100,"0")&amp;"%")</f>
        <v>2.68s</v>
      </c>
      <c r="H4" s="22" t="str">
        <f>IF(Data!L68&lt;3600,IF(Data!L68&lt;120,TEXT(Data!L68,"0.00")&amp;"s",TEXT(Data!L68,"0")&amp;"s"),TEXT(Data!P68*100,"0")&amp;"%")</f>
        <v>3.93s</v>
      </c>
    </row>
    <row r="5" ht="14.25">
      <c r="C5" s="22" t="str">
        <f>IF(Data!L4&lt;3600,IF(Data!L4&lt;100,TEXT(Data!L4,"0.00")&amp;"s",TEXT(Data!L4,"0")&amp;"s"),TEXT(Data!P4*100,"0")&amp;"%")</f>
        <v>102s</v>
      </c>
      <c r="D5" s="22" t="str">
        <f>IF(Data!L17&lt;3600,IF(Data!L17&lt;120,TEXT(Data!L17,"0.00")&amp;"s",TEXT(Data!L17,"0")&amp;"s"),TEXT(Data!P17*100,"0")&amp;"%")</f>
        <v>237s</v>
      </c>
      <c r="E5" s="22" t="str">
        <f>IF(Data!L30&lt;3600,IF(Data!L30&lt;120,TEXT(Data!L30,"0.00")&amp;"s",TEXT(Data!L30,"0")&amp;"s"),TEXT(Data!P30*100,"0")&amp;"%")</f>
        <v>61.02s</v>
      </c>
      <c r="F5" s="22" t="str">
        <f>IF(Data!L43&lt;3600,IF(Data!L43&lt;120,TEXT(Data!L43,"0.00")&amp;"s",TEXT(Data!L43,"0")&amp;"s"),TEXT(Data!P43*100,"0")&amp;"%")</f>
        <v>167s</v>
      </c>
      <c r="G5" s="23" t="str">
        <f>IF(Data!L56&lt;3600,IF(Data!L56&lt;120,TEXT(Data!L56,"0.00")&amp;"s",TEXT(Data!L56,"0")&amp;"s"),TEXT(Data!P56*100,"0")&amp;"%")</f>
        <v>54.30s</v>
      </c>
      <c r="H5" s="22" t="str">
        <f>IF(Data!L69&lt;3600,IF(Data!L69&lt;120,TEXT(Data!L69,"0.00")&amp;"s",TEXT(Data!L69,"0")&amp;"s"),TEXT(Data!P69*100,"0")&amp;"%")</f>
        <v>121s</v>
      </c>
    </row>
    <row r="6" ht="14.25">
      <c r="C6" s="22" t="str">
        <f>IF(Data!L5&lt;3600,IF(Data!L5&lt;120,TEXT(Data!L5,"0.00")&amp;"s",TEXT(Data!L5,"0")&amp;"s"),TEXT(Data!P5*100,"0")&amp;"%")</f>
        <v>304s</v>
      </c>
      <c r="D6" s="24" t="str">
        <f>IF(Data!L18&lt;3600,IF(Data!L18&lt;120,TEXT(Data!L18,"0.00")&amp;"s",TEXT(Data!L18,"0")&amp;"s"),TEXT(Data!P18*100,"0")&amp;"%")</f>
        <v>739s</v>
      </c>
      <c r="E6" s="22" t="str">
        <f>IF(Data!L31&lt;3600,IF(Data!L31&lt;120,TEXT(Data!L31,"0.00")&amp;"s",TEXT(Data!L31,"0")&amp;"s"),TEXT(Data!P31*100,"0")&amp;"%")</f>
        <v>356s</v>
      </c>
      <c r="F6" s="22" t="str">
        <f>IF(Data!L44&lt;3600,IF(Data!L44&lt;120,TEXT(Data!L44,"0.00")&amp;"s",TEXT(Data!L44,"0")&amp;"s"),TEXT(Data!P44*100,"0")&amp;"%")</f>
        <v>295s</v>
      </c>
      <c r="G6" s="22" t="str">
        <f>IF(Data!L57&lt;3600,IF(Data!L57&lt;120,TEXT(Data!L57,"0.00")&amp;"s",TEXT(Data!L57,"0")&amp;"s"),TEXT(Data!P57*100,"0")&amp;"%")</f>
        <v>155s</v>
      </c>
      <c r="H6" s="22" t="str">
        <f>IF(Data!L70&lt;3600,IF(Data!L70&lt;120,TEXT(Data!L70,"0.00")&amp;"s",TEXT(Data!L70,"0")&amp;"s"),TEXT(Data!P70*100,"0")&amp;"%")</f>
        <v>248s</v>
      </c>
    </row>
    <row r="7" ht="14.25">
      <c r="C7" s="22" t="str">
        <f>IF(Data!L6&lt;3600,IF(Data!L6&lt;120,TEXT(Data!L6,"0.00")&amp;"s",TEXT(Data!L6,"0")&amp;"s"),TEXT(Data!P6*100,"0")&amp;"%")</f>
        <v>34%</v>
      </c>
      <c r="D7" s="22" t="str">
        <f>IF(Data!L19&lt;3600,IF(Data!L19&lt;120,TEXT(Data!L19,"0.00")&amp;"s",TEXT(Data!L19,"0")&amp;"s"),TEXT(Data!P19*100,"0")&amp;"%")</f>
        <v>36%</v>
      </c>
      <c r="E7" s="22" t="str">
        <f>IF(Data!L32&lt;3600,IF(Data!L32&lt;120,TEXT(Data!L32,"0.00")&amp;"s",TEXT(Data!L32,"0")&amp;"s"),TEXT(Data!P32*100,"0")&amp;"%")</f>
        <v>38%</v>
      </c>
      <c r="F7" s="24" t="str">
        <f>IF(Data!L45&lt;3600,IF(Data!L45&lt;120,TEXT(Data!L45,"0.00")&amp;"s",TEXT(Data!L45,"0")&amp;"s"),TEXT(Data!P45*100,"0")&amp;"%")</f>
        <v>41%</v>
      </c>
      <c r="G7" s="23" t="str">
        <f>IF(Data!L58&lt;3600,IF(Data!L58&lt;120,TEXT(Data!L58,"0.00")&amp;"s",TEXT(Data!L58,"0")&amp;"s"),TEXT(Data!P58*100,"0")&amp;"%")</f>
        <v>31%</v>
      </c>
      <c r="H7" s="22" t="str">
        <f>IF(Data!L71&lt;3600,IF(Data!L71&lt;120,TEXT(Data!L71,"0.00")&amp;"s",TEXT(Data!L71,"0")&amp;"s"),TEXT(Data!P71*100,"0")&amp;"%")</f>
        <v>32%</v>
      </c>
    </row>
    <row r="8" ht="14.25">
      <c r="C8" s="22" t="str">
        <f>IF(Data!L7&lt;3600,IF(Data!L7&lt;120,TEXT(Data!L7,"0.00")&amp;"s",TEXT(Data!L7,"0")&amp;"s"),TEXT(Data!P7*100,"0")&amp;"%")</f>
        <v>38%</v>
      </c>
      <c r="D8" s="22" t="str">
        <f>IF(Data!L20&lt;3600,IF(Data!L20&lt;120,TEXT(Data!L20,"0.00")&amp;"s",TEXT(Data!L20,"0")&amp;"s"),TEXT(Data!P20*100,"0")&amp;"%")</f>
        <v>40%</v>
      </c>
      <c r="E8" s="22" t="str">
        <f>IF(Data!L33&lt;3600,IF(Data!L33&lt;120,TEXT(Data!L33,"0.00")&amp;"s",TEXT(Data!L33,"0")&amp;"s"),TEXT(Data!P33*100,"0")&amp;"%")</f>
        <v>40%</v>
      </c>
      <c r="F8" s="22" t="str">
        <f>IF(Data!L46&lt;3600,IF(Data!L46&lt;120,TEXT(Data!L46,"0.00")&amp;"s",TEXT(Data!L46,"0")&amp;"s"),TEXT(Data!P46*100,"0")&amp;"%")</f>
        <v>39%</v>
      </c>
      <c r="G8" s="22" t="str">
        <f>IF(Data!L59&lt;3600,IF(Data!L59&lt;120,TEXT(Data!L59,"0.00")&amp;"s",TEXT(Data!L59,"0")&amp;"s"),TEXT(Data!P59*100,"0")&amp;"%")</f>
        <v>35%</v>
      </c>
      <c r="H8" s="22" t="str">
        <f>IF(Data!L72&lt;3600,IF(Data!L72&lt;120,TEXT(Data!L72,"0.00")&amp;"s",TEXT(Data!L72,"0")&amp;"s"),TEXT(Data!P72*100,"0")&amp;"%")</f>
        <v>34%</v>
      </c>
    </row>
    <row r="9" ht="14.25">
      <c r="C9" s="22" t="str">
        <f>IF(Data!L8&lt;3600,IF(Data!L8&lt;120,TEXT(Data!L8,"0.00")&amp;"s",TEXT(Data!L8,"0")&amp;"s"),TEXT(Data!P8*100,"0")&amp;"%")</f>
        <v>51%</v>
      </c>
      <c r="D9" s="22" t="str">
        <f>IF(Data!L21&lt;3600,IF(Data!L21&lt;120,TEXT(Data!L21,"0.00")&amp;"s",TEXT(Data!L21,"0")&amp;"s"),TEXT(Data!P21*100,"0")&amp;"%")</f>
        <v>51%</v>
      </c>
      <c r="E9" s="24" t="str">
        <f>IF(Data!L34&lt;3600,IF(Data!L34&lt;120,TEXT(Data!L34,"0.00")&amp;"s",TEXT(Data!L34,"0")&amp;"s"),TEXT(Data!P34*100,"0")&amp;"%")</f>
        <v>53%</v>
      </c>
      <c r="F9" s="22" t="str">
        <f>IF(Data!L47&lt;3600,IF(Data!L47&lt;120,TEXT(Data!L47,"0.00")&amp;"s",TEXT(Data!L47,"0")&amp;"s"),TEXT(Data!P47*100,"0")&amp;"%")</f>
        <v>52%</v>
      </c>
      <c r="G9" s="22" t="str">
        <f>IF(Data!L60&lt;3600,IF(Data!L60&lt;120,TEXT(Data!L60,"0.00")&amp;"s",TEXT(Data!L60,"0")&amp;"s"),TEXT(Data!P60*100,"0")&amp;"%")</f>
        <v>49%</v>
      </c>
      <c r="H9" s="23" t="str">
        <f>IF(Data!L73&lt;3600,IF(Data!L73&lt;120,TEXT(Data!L73,"0.00")&amp;"s",TEXT(Data!L73,"0")&amp;"s"),TEXT(Data!P73*100,"0")&amp;"%")</f>
        <v>48%</v>
      </c>
    </row>
    <row r="10" ht="14.25">
      <c r="C10" s="22" t="str">
        <f>IF(Data!L9&lt;3600,IF(Data!L9&lt;120,TEXT(Data!L9,"0.00")&amp;"s",TEXT(Data!L9,"0")&amp;"s"),TEXT(Data!P9*100,"0")&amp;"%")</f>
        <v>51%</v>
      </c>
      <c r="D10" s="22" t="str">
        <f>IF(Data!L22&lt;3600,IF(Data!L22&lt;120,TEXT(Data!L22,"0.00")&amp;"s",TEXT(Data!L22,"0")&amp;"s"),TEXT(Data!P22*100,"0")&amp;"%")</f>
        <v>52%</v>
      </c>
      <c r="E10" s="24" t="str">
        <f>IF(Data!L35&lt;3600,IF(Data!L35&lt;120,TEXT(Data!L35,"0.00")&amp;"s",TEXT(Data!L35,"0")&amp;"s"),TEXT(Data!P35*100,"0")&amp;"%")</f>
        <v>53%</v>
      </c>
      <c r="F10" s="22" t="str">
        <f>IF(Data!L48&lt;3600,IF(Data!L48&lt;120,TEXT(Data!L48,"0.00")&amp;"s",TEXT(Data!L48,"0")&amp;"s"),TEXT(Data!P48*100,"0")&amp;"%")</f>
        <v>52%</v>
      </c>
      <c r="G10" s="22" t="str">
        <f>IF(Data!L61&lt;3600,IF(Data!L61&lt;120,TEXT(Data!L61,"0.00")&amp;"s",TEXT(Data!L61,"0")&amp;"s"),TEXT(Data!P61*100,"0")&amp;"%")</f>
        <v>51%</v>
      </c>
      <c r="H10" s="22" t="str">
        <f>IF(Data!L74&lt;3600,IF(Data!L74&lt;120,TEXT(Data!L74,"0.00")&amp;"s",TEXT(Data!L74,"0")&amp;"s"),TEXT(Data!P74*100,"0")&amp;"%")</f>
        <v>51%</v>
      </c>
    </row>
    <row r="11" ht="14.25">
      <c r="C11" s="23" t="str">
        <f>IF(Data!L10&lt;3600,IF(Data!L10&lt;120,TEXT(Data!L10,"0.00")&amp;"s",TEXT(Data!L10,"0")&amp;"s"),TEXT(Data!P10*100,"0")&amp;"%")</f>
        <v>48%</v>
      </c>
      <c r="D11" s="23" t="str">
        <f>IF(Data!L23&lt;3600,IF(Data!L23&lt;120,TEXT(Data!L23,"0.00")&amp;"s",TEXT(Data!L23,"0")&amp;"s"),TEXT(Data!P23*100,"0")&amp;"%")</f>
        <v>48%</v>
      </c>
      <c r="E11" s="24" t="str">
        <f>IF(Data!L36&lt;3600,IF(Data!L36&lt;120,TEXT(Data!L36,"0.00")&amp;"s",TEXT(Data!L36,"0")&amp;"s"),TEXT(Data!P36*100,"0")&amp;"%")</f>
        <v>52%</v>
      </c>
      <c r="F11" s="22" t="str">
        <f>IF(Data!L49&lt;3600,IF(Data!L49&lt;120,TEXT(Data!L49,"0.00")&amp;"s",TEXT(Data!L49,"0")&amp;"s"),TEXT(Data!P49*100,"0")&amp;"%")</f>
        <v>51%</v>
      </c>
      <c r="G11" s="22" t="str">
        <f>IF(Data!L62&lt;3600,IF(Data!L62&lt;120,TEXT(Data!L62,"0.00")&amp;"s",TEXT(Data!L62,"0")&amp;"s"),TEXT(Data!P62*100,"0")&amp;"%")</f>
        <v>49%</v>
      </c>
      <c r="H11" s="22" t="str">
        <f>IF(Data!L75&lt;3600,IF(Data!L75&lt;120,TEXT(Data!L75,"0.00")&amp;"s",TEXT(Data!L75,"0")&amp;"s"),TEXT(Data!P75*100,"0")&amp;"%")</f>
        <v>49%</v>
      </c>
    </row>
    <row r="12" ht="14.25">
      <c r="C12" s="23" t="str">
        <f>IF(Data!L11&lt;3600,IF(Data!L11&lt;120,TEXT(Data!L11,"0.00")&amp;"s",TEXT(Data!L11,"0")&amp;"s"),TEXT(Data!P11*100,"0")&amp;"%")</f>
        <v>48%</v>
      </c>
      <c r="D12" s="23" t="str">
        <f>IF(Data!L24&lt;3600,IF(Data!L24&lt;120,TEXT(Data!L24,"0.00")&amp;"s",TEXT(Data!L24,"0")&amp;"s"),TEXT(Data!P24*100,"0")&amp;"%")</f>
        <v>48%</v>
      </c>
      <c r="E12" s="22" t="str">
        <f>IF(Data!L37&lt;3600,IF(Data!L37&lt;120,TEXT(Data!L37,"0.00")&amp;"s",TEXT(Data!L37,"0")&amp;"s"),TEXT(Data!P37*100,"0")&amp;"%")</f>
        <v>51%</v>
      </c>
      <c r="F12" s="24" t="str">
        <f>IF(Data!L50&lt;3600,IF(Data!L50&lt;120,TEXT(Data!L50,"0.00")&amp;"s",TEXT(Data!L50,"0")&amp;"s"),TEXT(Data!P50*100,"0")&amp;"%")</f>
        <v>52%</v>
      </c>
      <c r="G12" s="22" t="str">
        <f>IF(Data!L63&lt;3600,IF(Data!L63&lt;120,TEXT(Data!L63,"0.00")&amp;"s",TEXT(Data!L63,"0")&amp;"s"),TEXT(Data!P63*100,"0")&amp;"%")</f>
        <v>49%</v>
      </c>
      <c r="H12" s="23" t="str">
        <f>IF(Data!L76&lt;3600,IF(Data!L76&lt;120,TEXT(Data!L76,"0.00")&amp;"s",TEXT(Data!L76,"0")&amp;"s"),TEXT(Data!P76*100,"0")&amp;"%")</f>
        <v>48%</v>
      </c>
    </row>
    <row r="13" ht="14.25">
      <c r="C13" s="22" t="str">
        <f>IF(Data!L12&lt;3600,IF(Data!L12&lt;120,TEXT(Data!L12,"0.00")&amp;"s",TEXT(Data!L12,"0")&amp;"s"),TEXT(Data!P12*100,"0")&amp;"%")</f>
        <v>81%</v>
      </c>
      <c r="D13" s="24" t="str">
        <f>IF(Data!L25&lt;3600,IF(Data!L25&lt;120,TEXT(Data!L25,"0.00")&amp;"s",TEXT(Data!L25,"0")&amp;"s"),TEXT(Data!P25*100,"0")&amp;"%")</f>
        <v>82%</v>
      </c>
      <c r="E13" s="24" t="str">
        <f>IF(Data!L38&lt;3600,IF(Data!L38&lt;120,TEXT(Data!L38,"0.00")&amp;"s",TEXT(Data!L38,"0")&amp;"s"),TEXT(Data!P38*100,"0")&amp;"%")</f>
        <v>82%</v>
      </c>
      <c r="F13" s="24" t="str">
        <f>IF(Data!L51&lt;3600,IF(Data!L51&lt;120,TEXT(Data!L51,"0.00")&amp;"s",TEXT(Data!L51,"0")&amp;"s"),TEXT(Data!P51*100,"0")&amp;"%")</f>
        <v>82%</v>
      </c>
      <c r="G13" s="23" t="str">
        <f>IF(Data!L64&lt;3600,IF(Data!L64&lt;120,TEXT(Data!L64,"0.00")&amp;"s",TEXT(Data!L64,"0")&amp;"s"),TEXT(Data!P64*100,"0")&amp;"%")</f>
        <v>69%</v>
      </c>
      <c r="H13" s="23" t="str">
        <f>IF(Data!L77&lt;3600,IF(Data!L77&lt;120,TEXT(Data!L77,"0.00")&amp;"s",TEXT(Data!L77,"0")&amp;"s"),TEXT(Data!P77*100,"0")&amp;"%")</f>
        <v>69%</v>
      </c>
    </row>
    <row r="14" ht="14.25">
      <c r="C14" s="22" t="str">
        <f>IF(Data!L13&lt;3600,IF(Data!L13&lt;120,TEXT(Data!L13,"0.00")&amp;"s",TEXT(Data!L13,"0")&amp;"s"),TEXT(Data!P13*100,"0")&amp;"%")</f>
        <v>72%</v>
      </c>
      <c r="D14" s="22" t="str">
        <f>IF(Data!L26&lt;3600,IF(Data!L26&lt;120,TEXT(Data!L26,"0.00")&amp;"s",TEXT(Data!L26,"0")&amp;"s"),TEXT(Data!P26*100,"0")&amp;"%")</f>
        <v>74%</v>
      </c>
      <c r="E14" s="22" t="str">
        <f>IF(Data!L39&lt;3600,IF(Data!L39&lt;120,TEXT(Data!L39,"0.00")&amp;"s",TEXT(Data!L39,"0")&amp;"s"),TEXT(Data!P39*100,"0")&amp;"%")</f>
        <v>77%</v>
      </c>
      <c r="F14" s="22" t="str">
        <f>IF(Data!L52&lt;3600,IF(Data!L52&lt;120,TEXT(Data!L52,"0.00")&amp;"s",TEXT(Data!L52,"0")&amp;"s"),TEXT(Data!P52*100,"0")&amp;"%")</f>
        <v>77%</v>
      </c>
      <c r="G14" s="22" t="str">
        <f>IF(Data!L65&lt;3600,IF(Data!L65&lt;120,TEXT(Data!L65,"0.00")&amp;"s",TEXT(Data!L65,"0")&amp;"s"),TEXT(Data!P65*100,"0")&amp;"%")</f>
        <v>77%</v>
      </c>
      <c r="H14" s="22" t="str">
        <f>IF(Data!L78&lt;3600,IF(Data!L78&lt;120,TEXT(Data!L78,"0.00")&amp;"s",TEXT(Data!L78,"0")&amp;"s"),TEXT(Data!P78*100,"0")&amp;"%")</f>
        <v>77%</v>
      </c>
    </row>
    <row r="15" ht="14.25">
      <c r="C15" s="19"/>
      <c r="D15" s="19"/>
      <c r="E15" s="19"/>
      <c r="F15" s="19"/>
      <c r="G15" s="22"/>
      <c r="H15" s="19"/>
    </row>
    <row r="16" ht="14.25">
      <c r="C16" s="22" t="s">
        <v>10</v>
      </c>
      <c r="D16" s="22"/>
      <c r="E16" s="22"/>
      <c r="F16" s="22"/>
      <c r="H16" s="22"/>
    </row>
    <row r="17" ht="14.25">
      <c r="C17" s="22">
        <f>Data!N2</f>
        <v>39</v>
      </c>
      <c r="D17" s="22">
        <f>Data!N15</f>
        <v>39</v>
      </c>
      <c r="E17" s="22">
        <f>Data!N28</f>
        <v>39</v>
      </c>
      <c r="F17" s="22">
        <f>Data!N41</f>
        <v>39</v>
      </c>
      <c r="G17" s="22">
        <f>Data!N54</f>
        <v>39</v>
      </c>
      <c r="H17" s="22">
        <f>Data!N67</f>
        <v>39</v>
      </c>
    </row>
    <row r="18" ht="14.25">
      <c r="C18" s="22">
        <f>Data!N3</f>
        <v>39</v>
      </c>
      <c r="D18" s="22">
        <f>Data!N16</f>
        <v>39</v>
      </c>
      <c r="E18" s="22">
        <f>Data!N29</f>
        <v>39</v>
      </c>
      <c r="F18" s="22">
        <f>Data!N42</f>
        <v>39</v>
      </c>
      <c r="G18" s="22">
        <f>Data!N55</f>
        <v>39</v>
      </c>
      <c r="H18" s="22">
        <f>Data!N68</f>
        <v>39</v>
      </c>
    </row>
    <row r="19" ht="14.25">
      <c r="C19" s="22">
        <f>Data!N4</f>
        <v>45</v>
      </c>
      <c r="D19" s="22">
        <f>Data!N17</f>
        <v>45</v>
      </c>
      <c r="E19" s="22">
        <f>Data!N30</f>
        <v>45</v>
      </c>
      <c r="F19" s="22">
        <f>Data!N43</f>
        <v>45</v>
      </c>
      <c r="G19" s="22">
        <f>Data!N56</f>
        <v>45</v>
      </c>
      <c r="H19" s="22">
        <f>Data!N69</f>
        <v>45</v>
      </c>
    </row>
    <row r="20" ht="14.25">
      <c r="C20" s="22">
        <f>Data!N5</f>
        <v>45</v>
      </c>
      <c r="D20" s="22">
        <f>Data!N18</f>
        <v>45</v>
      </c>
      <c r="E20" s="22">
        <f>Data!N31</f>
        <v>45</v>
      </c>
      <c r="F20" s="22">
        <f>Data!N44</f>
        <v>45</v>
      </c>
      <c r="G20" s="22">
        <f>Data!N57</f>
        <v>45</v>
      </c>
      <c r="H20" s="22">
        <f>Data!N70</f>
        <v>45</v>
      </c>
    </row>
    <row r="21" ht="14.25">
      <c r="C21" s="22">
        <f>Data!N6</f>
        <v>76</v>
      </c>
      <c r="D21" s="22">
        <f>Data!N19</f>
        <v>78</v>
      </c>
      <c r="E21" s="22">
        <f>Data!N32</f>
        <v>78</v>
      </c>
      <c r="F21" s="22">
        <f>Data!N45</f>
        <v>78</v>
      </c>
      <c r="G21" s="22">
        <f>Data!N58</f>
        <v>77</v>
      </c>
      <c r="H21" s="22">
        <f>Data!N71</f>
        <v>78</v>
      </c>
    </row>
    <row r="22" ht="14.25">
      <c r="C22" s="22">
        <f>Data!N7</f>
        <v>77</v>
      </c>
      <c r="D22" s="22">
        <f>Data!N20</f>
        <v>80</v>
      </c>
      <c r="E22" s="22">
        <f>Data!N33</f>
        <v>80</v>
      </c>
      <c r="F22" s="22">
        <f>Data!N46</f>
        <v>79</v>
      </c>
      <c r="G22" s="22">
        <f>Data!N59</f>
        <v>77</v>
      </c>
      <c r="H22" s="22">
        <f>Data!N72</f>
        <v>76</v>
      </c>
    </row>
    <row r="23" ht="14.25">
      <c r="C23" s="22">
        <f>Data!N8</f>
        <v>70</v>
      </c>
      <c r="D23" s="22">
        <f>Data!N21</f>
        <v>69</v>
      </c>
      <c r="E23" s="22">
        <f>Data!N34</f>
        <v>72</v>
      </c>
      <c r="F23" s="22">
        <f>Data!N47</f>
        <v>71</v>
      </c>
      <c r="G23" s="22">
        <f>Data!N60</f>
        <v>70</v>
      </c>
      <c r="H23" s="22">
        <f>Data!N73</f>
        <v>69</v>
      </c>
    </row>
    <row r="24" ht="14.25">
      <c r="C24" s="22">
        <f>Data!N9</f>
        <v>70</v>
      </c>
      <c r="D24" s="22">
        <f>Data!N22</f>
        <v>71</v>
      </c>
      <c r="E24" s="22">
        <f>Data!N35</f>
        <v>73</v>
      </c>
      <c r="F24" s="22">
        <f>Data!N48</f>
        <v>71</v>
      </c>
      <c r="G24" s="22">
        <f>Data!N61</f>
        <v>69</v>
      </c>
      <c r="H24" s="22">
        <f>Data!N74</f>
        <v>70</v>
      </c>
    </row>
    <row r="25" ht="14.25">
      <c r="C25" s="22">
        <f>Data!N10</f>
        <v>93</v>
      </c>
      <c r="D25" s="22">
        <f>Data!N23</f>
        <v>93</v>
      </c>
      <c r="E25" s="22">
        <f>Data!N36</f>
        <v>101</v>
      </c>
      <c r="F25" s="22">
        <f>Data!N49</f>
        <v>98</v>
      </c>
      <c r="G25" s="22">
        <f>Data!N62</f>
        <v>94</v>
      </c>
      <c r="H25" s="22">
        <f>Data!N75</f>
        <v>94</v>
      </c>
    </row>
    <row r="26" ht="14.25">
      <c r="C26" s="22">
        <f>Data!N11</f>
        <v>92</v>
      </c>
      <c r="D26" s="22">
        <f>Data!N24</f>
        <v>93</v>
      </c>
      <c r="E26" s="22">
        <f>Data!N37</f>
        <v>97</v>
      </c>
      <c r="F26" s="22">
        <f>Data!N50</f>
        <v>99</v>
      </c>
      <c r="G26" s="22">
        <f>Data!N63</f>
        <v>94</v>
      </c>
      <c r="H26" s="22">
        <f>Data!N76</f>
        <v>92</v>
      </c>
    </row>
    <row r="27" ht="14.25">
      <c r="C27" s="22">
        <f>Data!N12</f>
        <v>180</v>
      </c>
      <c r="D27" s="22">
        <f>Data!N25</f>
        <v>191</v>
      </c>
      <c r="E27" s="22">
        <f>Data!N38</f>
        <v>191.59999999999999</v>
      </c>
      <c r="F27" s="22">
        <f>Data!N51</f>
        <v>191.59999999999999</v>
      </c>
      <c r="G27" s="22">
        <f>Data!N64</f>
        <v>157</v>
      </c>
      <c r="H27" s="22">
        <f>Data!N77</f>
        <v>155</v>
      </c>
    </row>
    <row r="28" ht="14.25">
      <c r="C28" s="22">
        <f>Data!N13</f>
        <v>145</v>
      </c>
      <c r="D28" s="22">
        <f>Data!N26</f>
        <v>153</v>
      </c>
      <c r="E28" s="22">
        <f>Data!N39</f>
        <v>171</v>
      </c>
      <c r="F28" s="22">
        <f>Data!N52</f>
        <v>171</v>
      </c>
      <c r="G28" s="22">
        <f>Data!N65</f>
        <v>153</v>
      </c>
      <c r="H28" s="22">
        <f>Data!N78</f>
        <v>150</v>
      </c>
    </row>
    <row r="29" ht="14.25">
      <c r="C29" s="22"/>
      <c r="D29" s="22"/>
      <c r="E29" s="22"/>
      <c r="F29" s="22"/>
      <c r="G29" s="22"/>
      <c r="H29" s="22"/>
    </row>
    <row r="30" ht="14.25">
      <c r="C30" t="s">
        <v>11</v>
      </c>
    </row>
    <row r="31" ht="14.25">
      <c r="C31" s="25">
        <f>Data!O2</f>
        <v>39</v>
      </c>
      <c r="D31" s="25">
        <f>Data!O15</f>
        <v>39</v>
      </c>
      <c r="E31" s="25">
        <f>Data!O28</f>
        <v>39</v>
      </c>
      <c r="F31" s="25">
        <f>Data!O41</f>
        <v>39</v>
      </c>
      <c r="G31" s="25">
        <f>Data!O54</f>
        <v>39</v>
      </c>
      <c r="H31" s="25">
        <f>Data!O67</f>
        <v>39</v>
      </c>
    </row>
    <row r="32" ht="14.25">
      <c r="C32" s="25">
        <f>Data!O3</f>
        <v>39</v>
      </c>
      <c r="D32" s="25">
        <f>Data!O16</f>
        <v>39</v>
      </c>
      <c r="E32" s="25">
        <f>Data!O29</f>
        <v>39</v>
      </c>
      <c r="F32" s="25">
        <f>Data!O42</f>
        <v>39</v>
      </c>
      <c r="G32" s="25">
        <f>Data!O55</f>
        <v>39</v>
      </c>
      <c r="H32" s="25">
        <f>Data!O68</f>
        <v>39</v>
      </c>
    </row>
    <row r="33" ht="14.25">
      <c r="C33" s="25">
        <f>Data!O4</f>
        <v>45</v>
      </c>
      <c r="D33" s="25">
        <f>Data!O17</f>
        <v>45</v>
      </c>
      <c r="E33" s="25">
        <f>Data!O30</f>
        <v>45</v>
      </c>
      <c r="F33" s="25">
        <f>Data!O43</f>
        <v>45</v>
      </c>
      <c r="G33" s="25">
        <f>Data!O56</f>
        <v>45</v>
      </c>
      <c r="H33" s="25">
        <f>Data!O69</f>
        <v>45</v>
      </c>
    </row>
    <row r="34" ht="14.25">
      <c r="C34" s="25">
        <f>Data!O5</f>
        <v>45</v>
      </c>
      <c r="D34" s="25">
        <f>Data!O18</f>
        <v>45</v>
      </c>
      <c r="E34" s="25">
        <f>Data!O31</f>
        <v>45</v>
      </c>
      <c r="F34" s="25">
        <f>Data!O44</f>
        <v>45</v>
      </c>
      <c r="G34" s="25">
        <f>Data!O57</f>
        <v>45</v>
      </c>
      <c r="H34" s="25">
        <f>Data!O70</f>
        <v>45</v>
      </c>
    </row>
    <row r="35" ht="14.25">
      <c r="C35" s="22">
        <f>Data!O6</f>
        <v>50</v>
      </c>
      <c r="D35" s="22">
        <f>Data!O19</f>
        <v>50</v>
      </c>
      <c r="E35" s="22">
        <f>Data!O32</f>
        <v>48</v>
      </c>
      <c r="F35" s="22">
        <f>Data!O45</f>
        <v>46</v>
      </c>
      <c r="G35" s="25">
        <f>Data!O58</f>
        <v>53</v>
      </c>
      <c r="H35" s="25">
        <f>Data!O71</f>
        <v>53</v>
      </c>
    </row>
    <row r="36" ht="14.25">
      <c r="C36" s="22">
        <f>Data!O7</f>
        <v>48</v>
      </c>
      <c r="D36" s="22">
        <f>Data!O20</f>
        <v>48</v>
      </c>
      <c r="E36" s="22">
        <f>Data!O33</f>
        <v>48</v>
      </c>
      <c r="F36" s="22">
        <f>Data!O46</f>
        <v>48</v>
      </c>
      <c r="G36" s="25">
        <f>Data!O59</f>
        <v>50</v>
      </c>
      <c r="H36" s="25">
        <f>Data!O72</f>
        <v>50</v>
      </c>
    </row>
    <row r="37" ht="14.25">
      <c r="C37" s="22">
        <f>Data!O8</f>
        <v>34</v>
      </c>
      <c r="D37" s="22">
        <f>Data!O21</f>
        <v>34</v>
      </c>
      <c r="E37" s="22">
        <f>Data!O34</f>
        <v>34</v>
      </c>
      <c r="F37" s="22">
        <f>Data!O47</f>
        <v>34</v>
      </c>
      <c r="G37" s="25">
        <f>Data!O60</f>
        <v>36</v>
      </c>
      <c r="H37" s="25">
        <f>Data!O73</f>
        <v>36</v>
      </c>
    </row>
    <row r="38" ht="14.25">
      <c r="C38" s="22">
        <f>Data!O9</f>
        <v>34</v>
      </c>
      <c r="D38" s="22">
        <f>Data!O22</f>
        <v>34</v>
      </c>
      <c r="E38" s="22">
        <f>Data!O35</f>
        <v>34</v>
      </c>
      <c r="F38" s="22">
        <f>Data!O48</f>
        <v>34</v>
      </c>
      <c r="G38" s="25">
        <f>Data!O61</f>
        <v>34</v>
      </c>
      <c r="H38" s="25">
        <f>Data!O74</f>
        <v>34</v>
      </c>
    </row>
    <row r="39" ht="14.25">
      <c r="C39" s="22">
        <f>Data!O10</f>
        <v>48</v>
      </c>
      <c r="D39" s="22">
        <f>Data!O23</f>
        <v>48</v>
      </c>
      <c r="E39" s="22">
        <f>Data!O36</f>
        <v>48</v>
      </c>
      <c r="F39" s="22">
        <f>Data!O49</f>
        <v>48</v>
      </c>
      <c r="G39" s="25">
        <f>Data!O62</f>
        <v>48</v>
      </c>
      <c r="H39" s="25">
        <f>Data!O75</f>
        <v>48</v>
      </c>
    </row>
    <row r="40" ht="14.25">
      <c r="C40" s="22">
        <f>Data!O11</f>
        <v>48</v>
      </c>
      <c r="D40" s="22">
        <f>Data!O24</f>
        <v>48</v>
      </c>
      <c r="E40" s="22">
        <f>Data!O37</f>
        <v>48</v>
      </c>
      <c r="F40" s="22">
        <f>Data!O50</f>
        <v>48</v>
      </c>
      <c r="G40" s="25">
        <f>Data!O63</f>
        <v>48</v>
      </c>
      <c r="H40" s="25">
        <f>Data!O76</f>
        <v>48</v>
      </c>
    </row>
    <row r="41" ht="14.25">
      <c r="C41" s="22">
        <f>Data!O12</f>
        <v>35</v>
      </c>
      <c r="D41" s="22">
        <f>Data!O25</f>
        <v>35</v>
      </c>
      <c r="E41" s="22">
        <f>Data!O38</f>
        <v>35</v>
      </c>
      <c r="F41" s="22">
        <f>Data!O51</f>
        <v>35</v>
      </c>
      <c r="G41" s="25">
        <f>Data!O64</f>
        <v>48</v>
      </c>
      <c r="H41" s="25">
        <f>Data!O77</f>
        <v>48</v>
      </c>
    </row>
    <row r="42" ht="14.25">
      <c r="C42" s="22">
        <f>Data!O13</f>
        <v>40</v>
      </c>
      <c r="D42" s="22">
        <f>Data!O26</f>
        <v>40</v>
      </c>
      <c r="E42" s="22">
        <f>Data!O39</f>
        <v>40</v>
      </c>
      <c r="F42" s="22">
        <f>Data!O52</f>
        <v>40</v>
      </c>
      <c r="G42" s="25">
        <f>Data!O65</f>
        <v>35</v>
      </c>
      <c r="H42" s="25">
        <f>Data!O78</f>
        <v>35</v>
      </c>
    </row>
    <row r="43" ht="14.25">
      <c r="C43" s="26"/>
      <c r="D43" s="26"/>
      <c r="E43" s="26"/>
      <c r="F43" s="26"/>
      <c r="G43" s="25"/>
      <c r="H43" s="26"/>
    </row>
    <row r="44" ht="14.25">
      <c r="C44" s="19" t="s">
        <v>13</v>
      </c>
    </row>
    <row r="45" ht="14.25">
      <c r="C45" s="25">
        <f>Data!Q2</f>
        <v>7</v>
      </c>
      <c r="D45" s="25">
        <f>Data!Q15</f>
        <v>9</v>
      </c>
      <c r="E45" s="25">
        <f>Data!Q28</f>
        <v>7</v>
      </c>
      <c r="F45" s="25">
        <f>Data!Q41</f>
        <v>7</v>
      </c>
      <c r="G45" s="25">
        <f>Data!Q54</f>
        <v>7</v>
      </c>
      <c r="H45" s="25">
        <f>Data!Q67</f>
        <v>7</v>
      </c>
    </row>
    <row r="46" ht="14.25">
      <c r="C46" s="25">
        <f>Data!Q3</f>
        <v>8</v>
      </c>
      <c r="D46" s="25">
        <f>Data!Q16</f>
        <v>9</v>
      </c>
      <c r="E46" s="25">
        <f>Data!Q29</f>
        <v>10</v>
      </c>
      <c r="F46" s="25">
        <f>Data!Q42</f>
        <v>9</v>
      </c>
      <c r="G46" s="25">
        <f>Data!Q55</f>
        <v>6</v>
      </c>
      <c r="H46" s="25">
        <f>Data!Q68</f>
        <v>8</v>
      </c>
    </row>
    <row r="47" ht="14.25">
      <c r="C47" s="25">
        <f>Data!Q4</f>
        <v>10</v>
      </c>
      <c r="D47" s="25">
        <f>Data!Q17</f>
        <v>10</v>
      </c>
      <c r="E47" s="25">
        <f>Data!Q30</f>
        <v>10</v>
      </c>
      <c r="F47" s="25">
        <f>Data!Q43</f>
        <v>10</v>
      </c>
      <c r="G47" s="25">
        <f>Data!Q56</f>
        <v>10</v>
      </c>
      <c r="H47" s="25">
        <f>Data!Q69</f>
        <v>9</v>
      </c>
    </row>
    <row r="48" ht="14.25">
      <c r="C48" s="25">
        <f>Data!Q5</f>
        <v>10</v>
      </c>
      <c r="D48" s="25">
        <f>Data!Q18</f>
        <v>10</v>
      </c>
      <c r="E48" s="25">
        <f>Data!Q31</f>
        <v>10</v>
      </c>
      <c r="F48" s="25">
        <f>Data!Q44</f>
        <v>10</v>
      </c>
      <c r="G48" s="25">
        <f>Data!Q57</f>
        <v>10</v>
      </c>
      <c r="H48" s="25">
        <f>Data!Q70</f>
        <v>10</v>
      </c>
    </row>
    <row r="49" ht="14.25">
      <c r="C49" s="25">
        <f>Data!Q6</f>
        <v>10</v>
      </c>
      <c r="D49" s="25">
        <f>Data!Q19</f>
        <v>10</v>
      </c>
      <c r="E49" s="25">
        <f>Data!Q32</f>
        <v>10</v>
      </c>
      <c r="F49" s="25">
        <f>Data!Q45</f>
        <v>10</v>
      </c>
      <c r="G49" s="25">
        <f>Data!Q58</f>
        <v>10</v>
      </c>
      <c r="H49" s="25">
        <f>Data!Q71</f>
        <v>10</v>
      </c>
    </row>
    <row r="50" ht="14.25">
      <c r="C50" s="25">
        <f>Data!Q7</f>
        <v>10</v>
      </c>
      <c r="D50" s="25">
        <f>Data!Q20</f>
        <v>10</v>
      </c>
      <c r="E50" s="25">
        <f>Data!Q33</f>
        <v>10</v>
      </c>
      <c r="F50" s="25">
        <f>Data!Q46</f>
        <v>10</v>
      </c>
      <c r="G50" s="25">
        <f>Data!Q59</f>
        <v>10</v>
      </c>
      <c r="H50" s="25">
        <f>Data!Q72</f>
        <v>10</v>
      </c>
    </row>
    <row r="51" ht="14.25">
      <c r="C51" s="25">
        <f>Data!Q8</f>
        <v>10</v>
      </c>
      <c r="D51" s="25">
        <f>Data!Q21</f>
        <v>10</v>
      </c>
      <c r="E51" s="25">
        <f>Data!Q34</f>
        <v>10</v>
      </c>
      <c r="F51" s="25">
        <f>Data!Q47</f>
        <v>10</v>
      </c>
      <c r="G51" s="25">
        <f>Data!Q60</f>
        <v>10</v>
      </c>
      <c r="H51" s="25">
        <f>Data!Q73</f>
        <v>10</v>
      </c>
    </row>
    <row r="52" ht="14.25">
      <c r="C52" s="25">
        <f>Data!Q9</f>
        <v>10</v>
      </c>
      <c r="D52" s="25">
        <f>Data!Q22</f>
        <v>10</v>
      </c>
      <c r="E52" s="25">
        <f>Data!Q35</f>
        <v>10</v>
      </c>
      <c r="F52" s="25">
        <f>Data!Q48</f>
        <v>10</v>
      </c>
      <c r="G52" s="25">
        <f>Data!Q61</f>
        <v>10</v>
      </c>
      <c r="H52" s="25">
        <f>Data!Q74</f>
        <v>10</v>
      </c>
    </row>
    <row r="53" ht="14.25">
      <c r="C53" s="25">
        <f>Data!Q10</f>
        <v>10</v>
      </c>
      <c r="D53" s="25">
        <f>Data!Q23</f>
        <v>10</v>
      </c>
      <c r="E53" s="25">
        <f>Data!Q36</f>
        <v>10</v>
      </c>
      <c r="F53" s="25">
        <f>Data!Q49</f>
        <v>10</v>
      </c>
      <c r="G53" s="25">
        <f>Data!Q62</f>
        <v>10</v>
      </c>
      <c r="H53" s="25">
        <f>Data!Q75</f>
        <v>10</v>
      </c>
    </row>
    <row r="54" ht="14.25">
      <c r="C54" s="25">
        <f>Data!Q11</f>
        <v>10</v>
      </c>
      <c r="D54" s="25">
        <f>Data!Q24</f>
        <v>10</v>
      </c>
      <c r="E54" s="25">
        <f>Data!Q37</f>
        <v>10</v>
      </c>
      <c r="F54" s="25">
        <f>Data!Q50</f>
        <v>10</v>
      </c>
      <c r="G54" s="25">
        <f>Data!Q63</f>
        <v>10</v>
      </c>
      <c r="H54" s="25">
        <f>Data!Q76</f>
        <v>10</v>
      </c>
    </row>
    <row r="55" ht="14.25">
      <c r="C55" s="25">
        <f>Data!Q12</f>
        <v>5</v>
      </c>
      <c r="D55" s="25">
        <f>Data!Q25</f>
        <v>2</v>
      </c>
      <c r="E55" s="27">
        <f>Data!Q38</f>
        <v>1</v>
      </c>
      <c r="F55" s="27">
        <f>Data!Q51</f>
        <v>1</v>
      </c>
      <c r="G55" s="25">
        <f>Data!Q64</f>
        <v>10</v>
      </c>
      <c r="H55" s="25">
        <f>Data!Q77</f>
        <v>10</v>
      </c>
    </row>
    <row r="56" ht="14.25">
      <c r="C56" s="25">
        <f>Data!Q13</f>
        <v>10</v>
      </c>
      <c r="D56" s="25">
        <f>Data!Q26</f>
        <v>10</v>
      </c>
      <c r="E56" s="25">
        <f>Data!Q39</f>
        <v>10</v>
      </c>
      <c r="F56" s="25">
        <f>Data!Q52</f>
        <v>10</v>
      </c>
      <c r="G56" s="25">
        <f>Data!Q65</f>
        <v>10</v>
      </c>
      <c r="H56" s="25">
        <f>Data!Q78</f>
        <v>10</v>
      </c>
    </row>
    <row r="57" ht="14.25">
      <c r="C57" s="25"/>
      <c r="D57" s="25"/>
      <c r="E57" s="25"/>
      <c r="F57" s="25"/>
      <c r="G57" s="25"/>
      <c r="H57" s="25"/>
    </row>
    <row r="58" ht="14.25">
      <c r="C58" t="s">
        <v>14</v>
      </c>
      <c r="H58" s="28"/>
    </row>
    <row r="59" ht="14.25">
      <c r="C59" s="29">
        <f>Data!R2</f>
        <v>3843</v>
      </c>
      <c r="D59" s="29">
        <f>Data!R15</f>
        <v>16070</v>
      </c>
      <c r="E59" s="29">
        <f>Data!R28</f>
        <v>7853</v>
      </c>
      <c r="F59" s="29">
        <f>Data!R41</f>
        <v>4904</v>
      </c>
      <c r="G59" s="29">
        <f>Data!R54</f>
        <v>11622</v>
      </c>
      <c r="H59" s="29">
        <f>Data!R67</f>
        <v>8856</v>
      </c>
    </row>
    <row r="60" ht="14.25">
      <c r="C60" s="29">
        <f>Data!R3</f>
        <v>6767</v>
      </c>
      <c r="D60" s="29">
        <f>Data!R16</f>
        <v>1407</v>
      </c>
      <c r="E60" s="29">
        <f>Data!R29</f>
        <v>5224</v>
      </c>
      <c r="F60" s="29">
        <f>Data!R42</f>
        <v>2579</v>
      </c>
      <c r="G60" s="29">
        <f>Data!R55</f>
        <v>7737</v>
      </c>
      <c r="H60" s="29">
        <f>Data!R68</f>
        <v>8891</v>
      </c>
    </row>
    <row r="61" ht="14.25">
      <c r="C61" s="29">
        <f>Data!R4</f>
        <v>65175</v>
      </c>
      <c r="D61" s="29">
        <f>Data!R17</f>
        <v>163345</v>
      </c>
      <c r="E61" s="29">
        <f>Data!R30</f>
        <v>42281</v>
      </c>
      <c r="F61" s="29">
        <f>Data!R43</f>
        <v>101354</v>
      </c>
      <c r="G61" s="29">
        <f>Data!R56</f>
        <v>316234</v>
      </c>
      <c r="H61" s="29">
        <f>Data!R69</f>
        <v>449129</v>
      </c>
    </row>
    <row r="62" ht="14.25">
      <c r="C62" s="29">
        <f>Data!R5</f>
        <v>22317</v>
      </c>
      <c r="D62" s="29">
        <f>Data!R18</f>
        <v>39475</v>
      </c>
      <c r="E62" s="29">
        <f>Data!R31</f>
        <v>26959</v>
      </c>
      <c r="F62" s="29">
        <f>Data!R44</f>
        <v>18025</v>
      </c>
      <c r="G62" s="29">
        <f>Data!R57</f>
        <v>37329</v>
      </c>
      <c r="H62" s="29">
        <f>Data!R70</f>
        <v>79724</v>
      </c>
    </row>
    <row r="63" ht="14.25">
      <c r="C63" s="29">
        <f>Data!R6</f>
        <v>750990</v>
      </c>
      <c r="D63" s="29">
        <f>Data!R19</f>
        <v>631948</v>
      </c>
      <c r="E63" s="29">
        <f>Data!R32</f>
        <v>472976</v>
      </c>
      <c r="F63" s="29">
        <f>Data!R45</f>
        <v>273400</v>
      </c>
      <c r="G63" s="29">
        <f>Data!R58</f>
        <v>4841618</v>
      </c>
      <c r="H63" s="29">
        <f>Data!R71</f>
        <v>3152730</v>
      </c>
    </row>
    <row r="64" ht="14.25">
      <c r="C64" s="29">
        <f>Data!R7</f>
        <v>56923</v>
      </c>
      <c r="D64" s="29">
        <f>Data!R20</f>
        <v>128832</v>
      </c>
      <c r="E64" s="29">
        <f>Data!R33</f>
        <v>71267</v>
      </c>
      <c r="F64" s="29">
        <f>Data!R46</f>
        <v>28024</v>
      </c>
      <c r="G64" s="29">
        <f>Data!R59</f>
        <v>408240</v>
      </c>
      <c r="H64" s="29">
        <f>Data!R72</f>
        <v>415951</v>
      </c>
    </row>
    <row r="65" ht="14.25">
      <c r="C65" s="29">
        <f>Data!R8</f>
        <v>800551</v>
      </c>
      <c r="D65" s="29">
        <f>Data!R21</f>
        <v>570579</v>
      </c>
      <c r="E65" s="29">
        <f>Data!R34</f>
        <v>466210</v>
      </c>
      <c r="F65" s="29">
        <f>Data!R47</f>
        <v>365812</v>
      </c>
      <c r="G65" s="29">
        <f>Data!R60</f>
        <v>5036289</v>
      </c>
      <c r="H65" s="29">
        <f>Data!R73</f>
        <v>2505409</v>
      </c>
    </row>
    <row r="66" ht="14.25">
      <c r="C66" s="29">
        <f>Data!R9</f>
        <v>123816</v>
      </c>
      <c r="D66" s="29">
        <f>Data!R22</f>
        <v>49339</v>
      </c>
      <c r="E66" s="29">
        <f>Data!R35</f>
        <v>41302</v>
      </c>
      <c r="F66" s="29">
        <f>Data!R48</f>
        <v>29419</v>
      </c>
      <c r="G66" s="29">
        <f>Data!R61</f>
        <v>292201</v>
      </c>
      <c r="H66" s="29">
        <f>Data!R74</f>
        <v>334639</v>
      </c>
    </row>
    <row r="67" ht="14.25">
      <c r="C67" s="29">
        <f>Data!R10</f>
        <v>226351</v>
      </c>
      <c r="D67" s="29">
        <f>Data!R23</f>
        <v>195065</v>
      </c>
      <c r="E67" s="29">
        <f>Data!R36</f>
        <v>134331</v>
      </c>
      <c r="F67" s="29">
        <f>Data!R49</f>
        <v>99891</v>
      </c>
      <c r="G67" s="29">
        <f>Data!R62</f>
        <v>1605390</v>
      </c>
      <c r="H67" s="29">
        <f>Data!R75</f>
        <v>959261</v>
      </c>
    </row>
    <row r="68" ht="14.25">
      <c r="C68" s="29">
        <f>Data!R11</f>
        <v>13790</v>
      </c>
      <c r="D68" s="29">
        <f>Data!R24</f>
        <v>19209</v>
      </c>
      <c r="E68" s="29">
        <f>Data!R37</f>
        <v>13450</v>
      </c>
      <c r="F68" s="29">
        <f>Data!R50</f>
        <v>6718</v>
      </c>
      <c r="G68" s="29">
        <f>Data!R63</f>
        <v>110279</v>
      </c>
      <c r="H68" s="29">
        <f>Data!R76</f>
        <v>59647</v>
      </c>
    </row>
    <row r="69" ht="14.25">
      <c r="C69" s="29">
        <f>Data!R12</f>
        <v>13561</v>
      </c>
      <c r="D69" s="29">
        <f>Data!R25</f>
        <v>5150</v>
      </c>
      <c r="E69" s="29">
        <f>Data!R38</f>
        <v>2574</v>
      </c>
      <c r="F69" s="29">
        <f>Data!R51</f>
        <v>2257</v>
      </c>
      <c r="G69" s="29">
        <f>Data!R64</f>
        <v>286549</v>
      </c>
      <c r="H69" s="29">
        <f>Data!R77</f>
        <v>218984</v>
      </c>
    </row>
    <row r="70" ht="14.25">
      <c r="C70" s="29">
        <f>Data!R13</f>
        <v>399</v>
      </c>
      <c r="D70" s="29">
        <f>Data!R26</f>
        <v>1</v>
      </c>
      <c r="E70" s="29">
        <f>Data!R39</f>
        <v>1</v>
      </c>
      <c r="F70" s="29">
        <f>Data!R52</f>
        <v>1</v>
      </c>
      <c r="G70" s="29">
        <f>Data!R65</f>
        <v>3369</v>
      </c>
      <c r="H70" s="29">
        <f>Data!R78</f>
        <v>867</v>
      </c>
    </row>
    <row r="71" ht="14.25">
      <c r="C71" s="25"/>
      <c r="D71" s="25"/>
      <c r="E71" s="25"/>
      <c r="F71" s="25"/>
      <c r="G71" s="29"/>
      <c r="H71" s="25"/>
    </row>
    <row r="72" ht="14.25">
      <c r="G72" s="29"/>
      <c r="H72" s="19"/>
    </row>
    <row r="73" ht="14.25">
      <c r="C73" s="19"/>
      <c r="D73" s="19"/>
      <c r="E73" s="19"/>
      <c r="F73" s="19"/>
      <c r="G73" s="19"/>
      <c r="H73" s="19"/>
    </row>
    <row r="74" ht="14.25">
      <c r="C74" s="19"/>
      <c r="D74" s="19"/>
      <c r="E74" s="19"/>
      <c r="F74" s="19"/>
      <c r="G74" s="19"/>
      <c r="H74" s="19"/>
    </row>
    <row r="75" ht="14.25">
      <c r="C75" s="19"/>
      <c r="D75" s="19"/>
      <c r="E75" s="19"/>
      <c r="F75" s="19"/>
      <c r="G75" s="19"/>
      <c r="H75" s="19"/>
    </row>
    <row r="76" ht="14.25">
      <c r="C76" s="19"/>
      <c r="D76" s="19"/>
      <c r="E76" s="19"/>
      <c r="F76" s="19"/>
      <c r="G76" s="19"/>
      <c r="H76" s="19"/>
    </row>
    <row r="77" ht="14.25">
      <c r="C77" s="19"/>
      <c r="D77" s="19"/>
      <c r="E77" s="19"/>
      <c r="F77" s="19"/>
      <c r="G77" s="19"/>
      <c r="H77" s="19"/>
    </row>
    <row r="78" ht="14.25">
      <c r="C78" s="19"/>
      <c r="D78" s="19"/>
      <c r="E78" s="19"/>
      <c r="F78" s="19"/>
      <c r="G78" s="19"/>
      <c r="H78" s="19"/>
    </row>
    <row r="79" ht="14.25">
      <c r="C79" s="19"/>
      <c r="D79" s="19"/>
      <c r="E79" s="19"/>
      <c r="F79" s="19"/>
      <c r="G79" s="19"/>
      <c r="H79" s="19"/>
    </row>
    <row r="80" ht="14.25">
      <c r="C80" s="19"/>
      <c r="D80" s="19"/>
      <c r="E80" s="19"/>
      <c r="F80" s="19"/>
      <c r="G80" s="19"/>
      <c r="H80" s="19"/>
    </row>
    <row r="81" ht="14.25">
      <c r="C81" s="19"/>
      <c r="D81" s="19"/>
      <c r="E81" s="19"/>
      <c r="F81" s="19"/>
      <c r="G81" s="19"/>
      <c r="H81" s="19"/>
    </row>
    <row r="82" ht="14.25">
      <c r="C82" s="19"/>
      <c r="D82" s="19"/>
      <c r="E82" s="19"/>
      <c r="F82" s="19"/>
      <c r="G82" s="19"/>
      <c r="H82" s="19"/>
    </row>
    <row r="83" ht="14.25">
      <c r="C83" s="19"/>
      <c r="D83" s="19"/>
      <c r="E83" s="19"/>
      <c r="F83" s="19"/>
      <c r="G83" s="19"/>
      <c r="H83" s="19"/>
    </row>
    <row r="84" ht="14.25">
      <c r="C84" s="19"/>
      <c r="D84" s="19"/>
      <c r="E84" s="19"/>
      <c r="F84" s="19"/>
      <c r="G84" s="19"/>
      <c r="H84" s="19"/>
    </row>
    <row r="85" ht="14.25">
      <c r="C85" s="19"/>
      <c r="D85" s="19"/>
      <c r="E85" s="19"/>
      <c r="F85" s="19"/>
      <c r="G85" s="19"/>
      <c r="H85" s="19"/>
    </row>
    <row r="86" ht="14.25">
      <c r="C86" s="19"/>
      <c r="D86" s="19"/>
      <c r="E86" s="19"/>
      <c r="F86" s="19"/>
      <c r="G86" s="19"/>
      <c r="H86" s="19"/>
    </row>
    <row r="87" ht="14.25">
      <c r="C87" s="19"/>
      <c r="D87" s="19"/>
      <c r="E87" s="19"/>
      <c r="F87" s="19"/>
      <c r="G87" s="19"/>
      <c r="H87" s="19"/>
    </row>
    <row r="88" ht="14.25">
      <c r="C88" s="19"/>
      <c r="D88" s="19"/>
      <c r="E88" s="19"/>
      <c r="F88" s="19"/>
      <c r="G88" s="19"/>
      <c r="H88" s="19"/>
    </row>
    <row r="89" ht="14.25">
      <c r="C89" s="19"/>
      <c r="D89" s="19"/>
      <c r="E89" s="19"/>
      <c r="F89" s="19"/>
      <c r="G89" s="19"/>
      <c r="H89" s="19"/>
    </row>
    <row r="90" ht="14.25">
      <c r="C90" s="19"/>
      <c r="D90" s="19"/>
      <c r="E90" s="19"/>
      <c r="F90" s="19"/>
      <c r="G90" s="19"/>
      <c r="H90" s="19"/>
    </row>
    <row r="91" ht="14.25">
      <c r="C91" s="19"/>
      <c r="D91" s="19"/>
      <c r="E91" s="19"/>
      <c r="F91" s="19"/>
      <c r="G91" s="19"/>
      <c r="H91" s="19"/>
    </row>
    <row r="92" ht="14.25">
      <c r="C92" s="19"/>
      <c r="D92" s="19"/>
      <c r="E92" s="19"/>
      <c r="F92" s="19"/>
      <c r="G92" s="19"/>
      <c r="H92" s="19"/>
    </row>
    <row r="93" ht="14.25">
      <c r="C93" s="19"/>
      <c r="D93" s="19"/>
      <c r="E93" s="19"/>
      <c r="F93" s="19"/>
      <c r="G93" s="19"/>
      <c r="H93" s="19"/>
    </row>
    <row r="94" ht="14.25">
      <c r="C94" s="19"/>
      <c r="D94" s="19"/>
      <c r="E94" s="19"/>
      <c r="F94" s="19"/>
      <c r="G94" s="19"/>
      <c r="H94" s="19"/>
    </row>
    <row r="95" ht="14.25">
      <c r="C95" s="19"/>
      <c r="D95" s="19"/>
      <c r="E95" s="19"/>
      <c r="F95" s="19"/>
      <c r="G95" s="19"/>
      <c r="H95" s="19"/>
    </row>
    <row r="96" ht="14.25">
      <c r="C96" s="19"/>
      <c r="D96" s="19"/>
      <c r="E96" s="19"/>
      <c r="F96" s="19"/>
      <c r="G96" s="19"/>
      <c r="H96" s="19"/>
    </row>
    <row r="97" ht="14.25">
      <c r="C97" s="19"/>
      <c r="D97" s="19"/>
      <c r="E97" s="19"/>
      <c r="F97" s="19"/>
      <c r="G97" s="19"/>
      <c r="H97" s="19"/>
    </row>
    <row r="98" ht="14.25">
      <c r="C98" s="19"/>
      <c r="D98" s="19"/>
      <c r="E98" s="19"/>
      <c r="F98" s="19"/>
      <c r="G98" s="19"/>
      <c r="H98" s="19"/>
    </row>
    <row r="99" ht="14.25">
      <c r="C99" s="19"/>
      <c r="D99" s="19"/>
      <c r="E99" s="19"/>
      <c r="F99" s="19"/>
      <c r="G99" s="19"/>
      <c r="H99" s="19"/>
    </row>
    <row r="100" ht="14.25">
      <c r="C100" s="19"/>
      <c r="D100" s="19"/>
      <c r="E100" s="19"/>
      <c r="F100" s="19"/>
      <c r="G100" s="19"/>
      <c r="H100" s="19"/>
    </row>
    <row r="101" ht="14.25">
      <c r="C101" s="19"/>
      <c r="D101" s="19"/>
      <c r="E101" s="19"/>
      <c r="F101" s="19"/>
      <c r="G101" s="19"/>
      <c r="H101" s="19"/>
    </row>
    <row r="102" ht="14.25">
      <c r="C102" s="19"/>
      <c r="D102" s="19"/>
      <c r="E102" s="19"/>
      <c r="F102" s="19"/>
      <c r="G102" s="19"/>
      <c r="H102" s="19"/>
    </row>
    <row r="103" ht="14.25">
      <c r="C103" s="19"/>
      <c r="D103" s="19"/>
      <c r="E103" s="19"/>
      <c r="F103" s="19"/>
      <c r="G103" s="19"/>
      <c r="H103" s="19"/>
    </row>
    <row r="104" ht="14.25">
      <c r="C104" s="19"/>
      <c r="D104" s="19"/>
      <c r="E104" s="19"/>
      <c r="F104" s="19"/>
      <c r="G104" s="19"/>
      <c r="H104" s="19"/>
    </row>
    <row r="105" ht="14.25">
      <c r="C105" s="19"/>
      <c r="D105" s="19"/>
      <c r="E105" s="19"/>
      <c r="F105" s="19"/>
      <c r="G105" s="19"/>
      <c r="H105" s="19"/>
    </row>
    <row r="106" ht="14.25">
      <c r="C106" s="19"/>
      <c r="D106" s="19"/>
      <c r="E106" s="19"/>
      <c r="F106" s="19"/>
      <c r="G106" s="19"/>
      <c r="H106" s="19"/>
    </row>
    <row r="107" ht="14.25">
      <c r="C107" s="19"/>
      <c r="D107" s="19"/>
      <c r="E107" s="19"/>
      <c r="F107" s="19"/>
      <c r="G107" s="19"/>
      <c r="H107" s="19"/>
    </row>
    <row r="108" ht="14.25">
      <c r="C108" s="19"/>
      <c r="D108" s="19"/>
      <c r="E108" s="19"/>
      <c r="F108" s="19"/>
      <c r="G108" s="19"/>
      <c r="H108" s="19"/>
    </row>
    <row r="109" ht="14.25">
      <c r="C109" s="19"/>
      <c r="D109" s="19"/>
      <c r="E109" s="19"/>
      <c r="F109" s="19"/>
      <c r="G109" s="19"/>
      <c r="H109" s="19"/>
    </row>
    <row r="110" ht="14.25">
      <c r="C110" s="19"/>
      <c r="D110" s="19"/>
      <c r="E110" s="19"/>
      <c r="F110" s="19"/>
      <c r="G110" s="19"/>
      <c r="H110" s="19"/>
    </row>
    <row r="111" ht="14.25">
      <c r="C111" s="19"/>
      <c r="D111" s="19"/>
      <c r="E111" s="19"/>
      <c r="F111" s="19"/>
      <c r="G111" s="19"/>
      <c r="H111" s="19"/>
    </row>
    <row r="112" ht="14.25">
      <c r="C112" s="19"/>
      <c r="D112" s="19"/>
      <c r="E112" s="19"/>
      <c r="F112" s="19"/>
      <c r="G112" s="19"/>
      <c r="H112" s="19"/>
    </row>
    <row r="113" ht="14.25">
      <c r="C113" s="19"/>
      <c r="D113" s="19"/>
      <c r="E113" s="19"/>
      <c r="F113" s="19"/>
      <c r="G113" s="19"/>
      <c r="H113" s="19"/>
    </row>
    <row r="114" ht="14.25">
      <c r="C114" s="19"/>
      <c r="D114" s="19"/>
      <c r="E114" s="19"/>
      <c r="F114" s="19"/>
      <c r="G114" s="19"/>
      <c r="H114" s="19"/>
    </row>
    <row r="115" ht="14.25">
      <c r="C115" s="19"/>
      <c r="D115" s="19"/>
      <c r="E115" s="19"/>
      <c r="F115" s="19"/>
      <c r="G115" s="19"/>
      <c r="H115" s="19"/>
    </row>
    <row r="116" ht="14.25">
      <c r="C116" s="19"/>
      <c r="D116" s="19"/>
      <c r="E116" s="19"/>
      <c r="F116" s="19"/>
      <c r="G116" s="19"/>
      <c r="H116" s="19"/>
    </row>
    <row r="117" ht="14.25">
      <c r="C117" s="19"/>
      <c r="D117" s="19"/>
      <c r="E117" s="19"/>
      <c r="F117" s="19"/>
      <c r="G117" s="19"/>
      <c r="H117" s="19"/>
    </row>
    <row r="118" ht="14.25">
      <c r="C118" s="19"/>
      <c r="D118" s="19"/>
      <c r="E118" s="19"/>
      <c r="F118" s="19"/>
      <c r="G118" s="19"/>
      <c r="H118" s="19"/>
    </row>
    <row r="119" ht="14.25">
      <c r="C119" s="19"/>
      <c r="D119" s="19"/>
      <c r="E119" s="19"/>
      <c r="F119" s="19"/>
      <c r="G119" s="19"/>
      <c r="H119" s="19"/>
    </row>
    <row r="120" ht="14.25">
      <c r="C120" s="19"/>
      <c r="D120" s="19"/>
      <c r="E120" s="19"/>
      <c r="F120" s="19"/>
      <c r="G120" s="19"/>
      <c r="H120" s="19"/>
    </row>
    <row r="121" ht="14.25">
      <c r="C121" s="19"/>
      <c r="D121" s="19"/>
      <c r="E121" s="19"/>
      <c r="F121" s="19"/>
      <c r="G121" s="19"/>
      <c r="H121" s="19"/>
    </row>
    <row r="122" ht="14.25">
      <c r="C122" s="19"/>
      <c r="D122" s="19"/>
      <c r="E122" s="19"/>
      <c r="F122" s="19"/>
      <c r="G122" s="19"/>
      <c r="H122" s="19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top10" priority="4" rank="1" id="{00BA0050-00F5-4EFF-B393-00C6004E00E8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top10" priority="3" bottom="1" rank="1" id="{006F0063-00FF-4C3E-8A5A-00BB00DC007D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top10" priority="2" bottom="1" rank="1" id="{006A00B0-00A2-4F10-92E7-005400750014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C21:H22</xm:sqref>
        </x14:conditionalFormatting>
        <x14:conditionalFormatting xmlns:xm="http://schemas.microsoft.com/office/excel/2006/main">
          <x14:cfRule type="top10" priority="1" rank="1" id="{00C000B0-0034-4D2E-A17C-005100AD00FD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C21:H22</xm:sqref>
        </x14:conditionalFormatting>
        <x14:conditionalFormatting xmlns:xm="http://schemas.microsoft.com/office/excel/2006/main">
          <x14:cfRule type="top10" priority="2" bottom="1" rank="1" id="{000900B0-0073-4E84-999F-0005003F007A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C35:H36</xm:sqref>
        </x14:conditionalFormatting>
        <x14:conditionalFormatting xmlns:xm="http://schemas.microsoft.com/office/excel/2006/main">
          <x14:cfRule type="top10" priority="1" rank="1" id="{00E20052-00FE-41B2-9C9B-00D800890040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C35:H36</xm:sqref>
        </x14:conditionalFormatting>
        <x14:conditionalFormatting xmlns:xm="http://schemas.microsoft.com/office/excel/2006/main">
          <x14:cfRule type="top10" priority="2" bottom="1" rank="1" id="{006C000A-00D7-408D-8800-00C4000B00F9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C59:H60</xm:sqref>
        </x14:conditionalFormatting>
        <x14:conditionalFormatting xmlns:xm="http://schemas.microsoft.com/office/excel/2006/main">
          <x14:cfRule type="top10" priority="1" rank="1" id="{00CC00A1-00E7-449C-841E-00D800EC00C5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C59:H60</xm:sqref>
        </x14:conditionalFormatting>
        <x14:conditionalFormatting xmlns:xm="http://schemas.microsoft.com/office/excel/2006/main">
          <x14:cfRule type="top10" priority="2" bottom="1" rank="1" id="{00A900B6-007A-4B9B-A28F-00B8007400B4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C41:H42</xm:sqref>
        </x14:conditionalFormatting>
        <x14:conditionalFormatting xmlns:xm="http://schemas.microsoft.com/office/excel/2006/main">
          <x14:cfRule type="top10" priority="1" rank="1" id="{00B10038-00BF-4BFB-8CA9-001B0093004E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C41:H42</xm:sqref>
        </x14:conditionalFormatting>
        <x14:conditionalFormatting xmlns:xm="http://schemas.microsoft.com/office/excel/2006/main">
          <x14:cfRule type="top10" priority="1" rank="1" id="{001400ED-004A-4960-8210-004C0059000B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C37:H38</xm:sqref>
        </x14:conditionalFormatting>
        <x14:conditionalFormatting xmlns:xm="http://schemas.microsoft.com/office/excel/2006/main">
          <x14:cfRule type="top10" priority="2" bottom="1" rank="1" id="{000700EE-0092-4922-A723-00A9007C00DB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G71 G72</xm:sqref>
        </x14:conditionalFormatting>
        <x14:conditionalFormatting xmlns:xm="http://schemas.microsoft.com/office/excel/2006/main">
          <x14:cfRule type="top10" priority="1" rank="1" id="{00430028-0072-46CD-A38B-002700D600A0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G71 G72</xm:sqref>
        </x14:conditionalFormatting>
        <x14:conditionalFormatting xmlns:xm="http://schemas.microsoft.com/office/excel/2006/main">
          <x14:cfRule type="top10" priority="2" bottom="1" rank="1" id="{008400DC-00AC-48A1-90B0-00CC00E400AF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C23:H24</xm:sqref>
        </x14:conditionalFormatting>
        <x14:conditionalFormatting xmlns:xm="http://schemas.microsoft.com/office/excel/2006/main">
          <x14:cfRule type="top10" priority="1" rank="1" id="{000A0020-0061-4412-B842-003300470053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C23:H24</xm:sqref>
        </x14:conditionalFormatting>
        <x14:conditionalFormatting xmlns:xm="http://schemas.microsoft.com/office/excel/2006/main">
          <x14:cfRule type="top10" priority="2" bottom="1" rank="1" id="{001B005D-009B-4248-A2B3-000C00470049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C25:H26</xm:sqref>
        </x14:conditionalFormatting>
        <x14:conditionalFormatting xmlns:xm="http://schemas.microsoft.com/office/excel/2006/main">
          <x14:cfRule type="top10" priority="1" rank="1" id="{007E00CF-00C3-44A0-B5BB-009A004B0045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C25:H26</xm:sqref>
        </x14:conditionalFormatting>
        <x14:conditionalFormatting xmlns:xm="http://schemas.microsoft.com/office/excel/2006/main">
          <x14:cfRule type="top10" priority="2" bottom="1" rank="1" id="{00010008-002B-492A-A2D3-00330062006C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C27:H28</xm:sqref>
        </x14:conditionalFormatting>
        <x14:conditionalFormatting xmlns:xm="http://schemas.microsoft.com/office/excel/2006/main">
          <x14:cfRule type="top10" priority="1" rank="1" id="{00F5006D-0086-4F2A-A5BD-00C300BE00D7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C27:H28</xm:sqref>
        </x14:conditionalFormatting>
        <x14:conditionalFormatting xmlns:xm="http://schemas.microsoft.com/office/excel/2006/main">
          <x14:cfRule type="top10" priority="2" bottom="1" rank="1" id="{00AD00B7-006B-4B97-92F6-004900330017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C61:H62</xm:sqref>
        </x14:conditionalFormatting>
        <x14:conditionalFormatting xmlns:xm="http://schemas.microsoft.com/office/excel/2006/main">
          <x14:cfRule type="top10" priority="1" rank="1" id="{00030073-00D6-4D9E-B649-005800BC00AB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C61:H62</xm:sqref>
        </x14:conditionalFormatting>
        <x14:conditionalFormatting xmlns:xm="http://schemas.microsoft.com/office/excel/2006/main">
          <x14:cfRule type="top10" priority="2" bottom="1" rank="1" id="{00D30082-00A6-4320-813F-009700F7008B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C63:H64</xm:sqref>
        </x14:conditionalFormatting>
        <x14:conditionalFormatting xmlns:xm="http://schemas.microsoft.com/office/excel/2006/main">
          <x14:cfRule type="top10" priority="1" rank="1" id="{007E009A-0020-4D30-89A7-004200A400A1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C63:H64</xm:sqref>
        </x14:conditionalFormatting>
        <x14:conditionalFormatting xmlns:xm="http://schemas.microsoft.com/office/excel/2006/main">
          <x14:cfRule type="top10" priority="2" bottom="1" rank="1" id="{006800C3-006A-4496-9814-00A7002A004B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C65:H66</xm:sqref>
        </x14:conditionalFormatting>
        <x14:conditionalFormatting xmlns:xm="http://schemas.microsoft.com/office/excel/2006/main">
          <x14:cfRule type="top10" priority="1" rank="1" id="{007900DC-0011-4E4F-865A-00AA001200DB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C65:H66</xm:sqref>
        </x14:conditionalFormatting>
        <x14:conditionalFormatting xmlns:xm="http://schemas.microsoft.com/office/excel/2006/main">
          <x14:cfRule type="top10" priority="2" bottom="1" rank="1" id="{00A00013-0084-400A-AE18-0042008A0017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C67:H68</xm:sqref>
        </x14:conditionalFormatting>
        <x14:conditionalFormatting xmlns:xm="http://schemas.microsoft.com/office/excel/2006/main">
          <x14:cfRule type="top10" priority="1" rank="1" id="{004C0070-0097-44AC-A72B-00F900E300B9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C67:H68</xm:sqref>
        </x14:conditionalFormatting>
        <x14:conditionalFormatting xmlns:xm="http://schemas.microsoft.com/office/excel/2006/main">
          <x14:cfRule type="top10" priority="2" bottom="1" rank="1" id="{00F1004B-0000-40CE-9632-006F001300EF}"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C69:H70</xm:sqref>
        </x14:conditionalFormatting>
        <x14:conditionalFormatting xmlns:xm="http://schemas.microsoft.com/office/excel/2006/main">
          <x14:cfRule type="top10" priority="1" rank="1" id="{008900D1-00DD-473A-8B19-00D8003300DC}">
            <x14:dxf>
              <fill>
                <patternFill patternType="solid">
                  <fgColor rgb="FFDBE5F1"/>
                  <bgColor rgb="FFDBE5F1"/>
                </patternFill>
              </fill>
            </x14:dxf>
          </x14:cfRule>
          <xm:sqref>C69:H70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2025-12-12T09:14:21Z</dcterms:modified>
</cp:coreProperties>
</file>