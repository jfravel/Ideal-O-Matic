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Data" sheetId="1" state="visible" r:id="rId1"/>
    <sheet name="Table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<sst xmlns="http://schemas.openxmlformats.org/spreadsheetml/2006/main" count="97" uniqueCount="97">
  <si>
    <t>Name</t>
  </si>
  <si>
    <t>Date</t>
  </si>
  <si>
    <t>Model</t>
  </si>
  <si>
    <t>Objective</t>
  </si>
  <si>
    <t>N</t>
  </si>
  <si>
    <t>Instance</t>
  </si>
  <si>
    <t>Cuts</t>
  </si>
  <si>
    <t>Presolve</t>
  </si>
  <si>
    <t>Heuristics</t>
  </si>
  <si>
    <t>Runtime</t>
  </si>
  <si>
    <t>Value</t>
  </si>
  <si>
    <t>Bound</t>
  </si>
  <si>
    <t xml:space="preserve">MIP Gap</t>
  </si>
  <si>
    <t xml:space="preserve">Sol Count</t>
  </si>
  <si>
    <t xml:space="preserve">Node Count</t>
  </si>
  <si>
    <t>NU-010-StripPacking-10-0</t>
  </si>
  <si>
    <t>NU</t>
  </si>
  <si>
    <t>StripPacking</t>
  </si>
  <si>
    <t>NU-111-StripPacking-10-0</t>
  </si>
  <si>
    <t>NU-010-StripPacking-15-0</t>
  </si>
  <si>
    <t>NU-111-StripPacking-15-0</t>
  </si>
  <si>
    <t>NU-010-StripPacking-20-0</t>
  </si>
  <si>
    <t>NU-111-StripPacking-20-0</t>
  </si>
  <si>
    <t>NU-010-StripPacking-25-0</t>
  </si>
  <si>
    <t>NU-111-StripPacking-25-0</t>
  </si>
  <si>
    <t>NU-010-StripPacking-35-0</t>
  </si>
  <si>
    <t>NU-111-StripPacking-35-0</t>
  </si>
  <si>
    <t>NU-010-StripPacking-50-0</t>
  </si>
  <si>
    <t>NU-111-StripPacking-50-0</t>
  </si>
  <si>
    <t>SU-010-StripPacking-10-0</t>
  </si>
  <si>
    <t>SU</t>
  </si>
  <si>
    <t>SU-111-StripPacking-10-0</t>
  </si>
  <si>
    <t>SU-010-StripPacking-15-0</t>
  </si>
  <si>
    <t>SU-111-StripPacking-15-0</t>
  </si>
  <si>
    <t>SU-010-StripPacking-20-0</t>
  </si>
  <si>
    <t>SU-111-StripPacking-20-0</t>
  </si>
  <si>
    <t>SU-010-StripPacking-25-0</t>
  </si>
  <si>
    <t>SU-111-StripPacking-25-0</t>
  </si>
  <si>
    <t>SU-010-StripPacking-35-0</t>
  </si>
  <si>
    <t>SU-111-StripPacking-35-0</t>
  </si>
  <si>
    <t>SU-010-StripPacking-50-0</t>
  </si>
  <si>
    <t>SU-111-StripPacking-50-0</t>
  </si>
  <si>
    <t>RU-010-StripPacking-10-0</t>
  </si>
  <si>
    <t>RU</t>
  </si>
  <si>
    <t>RU-111-StripPacking-10-0</t>
  </si>
  <si>
    <t>RU-010-StripPacking-15-0</t>
  </si>
  <si>
    <t>RU-111-StripPacking-15-0</t>
  </si>
  <si>
    <t>RU-010-StripPacking-20-0</t>
  </si>
  <si>
    <t>RU-111-StripPacking-20-0</t>
  </si>
  <si>
    <t>RU-010-StripPacking-25-0</t>
  </si>
  <si>
    <t>RU-111-StripPacking-25-0</t>
  </si>
  <si>
    <t>RU-010-StripPacking-35-0</t>
  </si>
  <si>
    <t>RU-111-StripPacking-35-0</t>
  </si>
  <si>
    <t>RU-010-StripPacking-50-0</t>
  </si>
  <si>
    <t>RU-111-StripPacking-50-0</t>
  </si>
  <si>
    <t>HU-010-StripPacking-10-0</t>
  </si>
  <si>
    <t>HU</t>
  </si>
  <si>
    <t>HU-111-StripPacking-10-0</t>
  </si>
  <si>
    <t>HU-010-StripPacking-15-0</t>
  </si>
  <si>
    <t>HU-111-StripPacking-15-0</t>
  </si>
  <si>
    <t>HU-010-StripPacking-20-0</t>
  </si>
  <si>
    <t>HU-111-StripPacking-20-0</t>
  </si>
  <si>
    <t>HU-010-StripPacking-25-0</t>
  </si>
  <si>
    <t>HU-111-StripPacking-25-0</t>
  </si>
  <si>
    <t>HU-010-StripPacking-35-0</t>
  </si>
  <si>
    <t>HU-111-StripPacking-35-0</t>
  </si>
  <si>
    <t>HU-010-StripPacking-50-0</t>
  </si>
  <si>
    <t>HU-111-StripPacking-50-0</t>
  </si>
  <si>
    <t>SBL-010-StripPacking-10-0</t>
  </si>
  <si>
    <t>SBL</t>
  </si>
  <si>
    <t>SBL-111-StripPacking-10-0</t>
  </si>
  <si>
    <t>SBL-010-StripPacking-15-0</t>
  </si>
  <si>
    <t>SBL-111-StripPacking-15-0</t>
  </si>
  <si>
    <t>SBL-010-StripPacking-20-0</t>
  </si>
  <si>
    <t>SBL-111-StripPacking-20-0</t>
  </si>
  <si>
    <t>SBL-010-StripPacking-25-0</t>
  </si>
  <si>
    <t>SBL-111-StripPacking-25-0</t>
  </si>
  <si>
    <t>SBL-010-StripPacking-35-0</t>
  </si>
  <si>
    <t>SBL-111-StripPacking-35-0</t>
  </si>
  <si>
    <t>SBL-010-StripPacking-50-0</t>
  </si>
  <si>
    <t>SBL-111-StripPacking-50-0</t>
  </si>
  <si>
    <t>SBM-010-StripPacking-10-0</t>
  </si>
  <si>
    <t>SBM</t>
  </si>
  <si>
    <t>SBM-111-StripPacking-10-0</t>
  </si>
  <si>
    <t>SBM-010-StripPacking-15-0</t>
  </si>
  <si>
    <t>SBM-111-StripPacking-15-0</t>
  </si>
  <si>
    <t>SBM-010-StripPacking-20-0</t>
  </si>
  <si>
    <t>SBM-111-StripPacking-20-0</t>
  </si>
  <si>
    <t>SBM-010-StripPacking-25-0</t>
  </si>
  <si>
    <t>SBM-111-StripPacking-25-0</t>
  </si>
  <si>
    <t>SBM-010-StripPacking-35-0</t>
  </si>
  <si>
    <t>SBM-111-StripPacking-35-0</t>
  </si>
  <si>
    <t>SBM-010-StripPacking-50-0</t>
  </si>
  <si>
    <t>SBM-111-StripPacking-50-0</t>
  </si>
  <si>
    <t>Time/Gap</t>
  </si>
  <si>
    <t>SB-L</t>
  </si>
  <si>
    <t>SB-M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</si>
</sst>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5">
    <numFmt numFmtId="164" formatCode="0.000000"/>
    <numFmt numFmtId="165" formatCode="000.00000000000000"/>
    <numFmt numFmtId="166" formatCode="000.000000"/>
    <numFmt numFmtId="167" formatCode="0000.0000000000000"/>
    <numFmt numFmtId="168" formatCode="0.00000000000000000"/>
    <numFmt numFmtId="169" formatCode="00.0"/>
    <numFmt numFmtId="170" formatCode="0.0"/>
    <numFmt numFmtId="171" formatCode="00000000.0"/>
    <numFmt numFmtId="172" formatCode="0000.000000000000"/>
    <numFmt numFmtId="173" formatCode="00.0000000000000"/>
    <numFmt numFmtId="174" formatCode="00.000000000000000"/>
    <numFmt numFmtId="175" formatCode="000000.0"/>
    <numFmt numFmtId="176" formatCode="000.0"/>
    <numFmt numFmtId="177" formatCode="0.0000000000000000"/>
    <numFmt numFmtId="178" formatCode="00000.0"/>
    <numFmt numFmtId="179" formatCode="0000.000000"/>
    <numFmt numFmtId="180" formatCode="0000000.0"/>
    <numFmt numFmtId="181" formatCode="00.00000000000000"/>
    <numFmt numFmtId="182" formatCode="0.000000000000000"/>
    <numFmt numFmtId="183" formatCode="0000.00000000000"/>
    <numFmt numFmtId="184" formatCode="000.0000000000000"/>
    <numFmt numFmtId="185" formatCode="00.000000"/>
    <numFmt numFmtId="186" formatCode="000.00000"/>
    <numFmt numFmtId="187" formatCode="0000.00000"/>
    <numFmt numFmtId="188" formatCode="0.0E+00"/>
  </numFmts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/>
    <xf fontId="0" fillId="0" borderId="0" numFmtId="14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  <xf fontId="0" fillId="0" borderId="0" numFmtId="175" xfId="0" applyNumberFormat="1"/>
    <xf fontId="0" fillId="0" borderId="0" numFmtId="176" xfId="0" applyNumberFormat="1"/>
    <xf fontId="0" fillId="0" borderId="0" numFmtId="177" xfId="0" applyNumberFormat="1"/>
    <xf fontId="0" fillId="0" borderId="0" numFmtId="178" xfId="0" applyNumberFormat="1"/>
    <xf fontId="0" fillId="0" borderId="0" numFmtId="179" xfId="0" applyNumberFormat="1"/>
    <xf fontId="0" fillId="0" borderId="0" numFmtId="180" xfId="0" applyNumberFormat="1"/>
    <xf fontId="0" fillId="0" borderId="0" numFmtId="181" xfId="0" applyNumberFormat="1"/>
    <xf fontId="0" fillId="0" borderId="0" numFmtId="182" xfId="0" applyNumberFormat="1"/>
    <xf fontId="0" fillId="0" borderId="0" numFmtId="183" xfId="0" applyNumberFormat="1"/>
    <xf fontId="0" fillId="0" borderId="0" numFmtId="184" xfId="0" applyNumberFormat="1"/>
    <xf fontId="0" fillId="0" borderId="0" numFmtId="185" xfId="0" applyNumberFormat="1"/>
    <xf fontId="0" fillId="0" borderId="0" numFmtId="186" xfId="0" applyNumberFormat="1"/>
    <xf fontId="0" fillId="0" borderId="0" numFmtId="187" xfId="0" applyNumberFormat="1"/>
    <xf fontId="0" fillId="0" borderId="0" numFmtId="0" xfId="0">
      <protection hidden="0" locked="1"/>
    </xf>
    <xf fontId="0" fillId="0" borderId="0" numFmtId="0" xfId="0" applyAlignment="1">
      <alignment horizontal="center"/>
    </xf>
    <xf fontId="0" fillId="0" borderId="0" numFmtId="0" xfId="0" applyAlignment="1">
      <alignment horizontal="center"/>
      <protection hidden="0" locked="1"/>
    </xf>
    <xf fontId="0" fillId="0" borderId="0" numFmtId="0" xfId="0" applyAlignment="1">
      <alignment horizontal="center"/>
    </xf>
    <xf fontId="0" fillId="2" borderId="0" numFmtId="0" xfId="0" applyFill="1" applyAlignment="1">
      <alignment horizontal="center"/>
      <protection hidden="0" locked="1"/>
    </xf>
    <xf fontId="0" fillId="0" borderId="0" numFmtId="0" xfId="0" applyAlignment="1">
      <alignment horizontal="center"/>
      <protection hidden="0" locked="1"/>
    </xf>
    <xf fontId="0" fillId="3" borderId="0" numFmtId="0" xfId="0" applyFill="1" applyAlignment="1">
      <alignment horizontal="center"/>
      <protection hidden="0" locked="1"/>
    </xf>
    <xf fontId="0" fillId="0" borderId="0" numFmtId="1" xfId="0" applyNumberFormat="1">
      <protection hidden="0" locked="1"/>
    </xf>
    <xf fontId="0" fillId="0" borderId="0" numFmtId="1" xfId="0" applyNumberFormat="1" applyAlignment="1">
      <alignment horizontal="center"/>
      <protection hidden="0" locked="1"/>
    </xf>
    <xf fontId="0" fillId="0" borderId="0" numFmtId="1" xfId="0" applyNumberFormat="1" applyAlignment="1">
      <alignment horizontal="center"/>
    </xf>
    <xf fontId="0" fillId="0" borderId="0" numFmtId="170" xfId="0" applyNumberFormat="1" applyAlignment="1">
      <alignment horizontal="center"/>
      <protection hidden="0" locked="1"/>
    </xf>
    <xf fontId="0" fillId="0" borderId="0" numFmtId="188" xfId="0" applyNumberFormat="1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J1" zoomScale="100" workbookViewId="0">
      <selection activeCell="A1" activeCellId="0" sqref="A1"/>
    </sheetView>
  </sheetViews>
  <sheetFormatPr baseColWidth="9" defaultRowHeight="15"/>
  <cols>
    <col bestFit="1" min="2" max="2" width="10.61328125"/>
  </cols>
  <sheetData>
    <row r="1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>
      <c r="A2" t="s">
        <v>15</v>
      </c>
      <c r="B2" s="1">
        <v>45985</v>
      </c>
      <c r="D2" t="s">
        <v>16</v>
      </c>
      <c r="E2" t="s">
        <v>17</v>
      </c>
      <c r="F2">
        <v>10</v>
      </c>
      <c r="G2">
        <v>0</v>
      </c>
      <c r="I2">
        <v>0</v>
      </c>
      <c r="J2">
        <v>1</v>
      </c>
      <c r="K2">
        <v>0</v>
      </c>
      <c r="L2" s="2">
        <v>0.241234</v>
      </c>
      <c r="N2">
        <v>39</v>
      </c>
      <c r="O2">
        <v>39</v>
      </c>
      <c r="P2">
        <v>0</v>
      </c>
      <c r="Q2">
        <v>10</v>
      </c>
      <c r="R2">
        <v>11360</v>
      </c>
    </row>
    <row r="3">
      <c r="A3" t="s">
        <v>18</v>
      </c>
      <c r="B3" s="1">
        <v>45985</v>
      </c>
      <c r="D3" t="s">
        <v>16</v>
      </c>
      <c r="E3" t="s">
        <v>17</v>
      </c>
      <c r="F3">
        <v>10</v>
      </c>
      <c r="G3">
        <v>0</v>
      </c>
      <c r="I3">
        <v>1</v>
      </c>
      <c r="J3">
        <v>1</v>
      </c>
      <c r="K3">
        <v>1</v>
      </c>
      <c r="L3" s="2">
        <v>1.444574</v>
      </c>
      <c r="N3">
        <v>39</v>
      </c>
      <c r="O3">
        <v>39</v>
      </c>
      <c r="P3">
        <v>0</v>
      </c>
      <c r="Q3">
        <v>7</v>
      </c>
      <c r="R3">
        <v>5032</v>
      </c>
    </row>
    <row r="4">
      <c r="A4" t="s">
        <v>19</v>
      </c>
      <c r="B4" s="1">
        <v>45985</v>
      </c>
      <c r="D4" t="s">
        <v>16</v>
      </c>
      <c r="E4" t="s">
        <v>17</v>
      </c>
      <c r="F4">
        <v>15</v>
      </c>
      <c r="G4">
        <v>0</v>
      </c>
      <c r="I4">
        <v>0</v>
      </c>
      <c r="J4">
        <v>1</v>
      </c>
      <c r="K4">
        <v>0</v>
      </c>
      <c r="L4" s="3">
        <v>500.71086600000001</v>
      </c>
      <c r="N4">
        <v>45</v>
      </c>
      <c r="O4">
        <v>45</v>
      </c>
      <c r="P4">
        <v>0</v>
      </c>
      <c r="Q4">
        <v>10</v>
      </c>
      <c r="R4">
        <v>7150556</v>
      </c>
    </row>
    <row r="5">
      <c r="A5" t="s">
        <v>20</v>
      </c>
      <c r="B5" s="1">
        <v>45985</v>
      </c>
      <c r="D5" t="s">
        <v>16</v>
      </c>
      <c r="E5" t="s">
        <v>17</v>
      </c>
      <c r="F5">
        <v>15</v>
      </c>
      <c r="G5">
        <v>0</v>
      </c>
      <c r="I5">
        <v>1</v>
      </c>
      <c r="J5">
        <v>1</v>
      </c>
      <c r="K5">
        <v>1</v>
      </c>
      <c r="L5" s="4">
        <v>412.469921</v>
      </c>
      <c r="N5">
        <v>45</v>
      </c>
      <c r="O5">
        <v>45</v>
      </c>
      <c r="P5">
        <v>0</v>
      </c>
      <c r="Q5">
        <v>10</v>
      </c>
      <c r="R5">
        <v>67594</v>
      </c>
    </row>
    <row r="6">
      <c r="A6" t="s">
        <v>21</v>
      </c>
      <c r="B6" s="1">
        <v>45985</v>
      </c>
      <c r="D6" t="s">
        <v>16</v>
      </c>
      <c r="E6" t="s">
        <v>17</v>
      </c>
      <c r="F6">
        <v>20</v>
      </c>
      <c r="G6">
        <v>0</v>
      </c>
      <c r="I6">
        <v>0</v>
      </c>
      <c r="J6">
        <v>1</v>
      </c>
      <c r="K6">
        <v>0</v>
      </c>
      <c r="L6" s="5">
        <v>3601.1318839999999</v>
      </c>
      <c r="N6">
        <v>79</v>
      </c>
      <c r="O6">
        <v>48</v>
      </c>
      <c r="P6" s="2">
        <v>0.392405</v>
      </c>
      <c r="Q6">
        <v>10</v>
      </c>
      <c r="R6">
        <v>32083773</v>
      </c>
    </row>
    <row r="7">
      <c r="A7" t="s">
        <v>22</v>
      </c>
      <c r="B7" s="1">
        <v>45985</v>
      </c>
      <c r="D7" t="s">
        <v>16</v>
      </c>
      <c r="E7" t="s">
        <v>17</v>
      </c>
      <c r="F7">
        <v>20</v>
      </c>
      <c r="G7">
        <v>0</v>
      </c>
      <c r="I7">
        <v>1</v>
      </c>
      <c r="J7">
        <v>1</v>
      </c>
      <c r="K7">
        <v>1</v>
      </c>
      <c r="L7" s="5">
        <v>3600.0859009999999</v>
      </c>
      <c r="N7">
        <v>78</v>
      </c>
      <c r="O7">
        <v>46</v>
      </c>
      <c r="P7" s="6">
        <v>0.41025600000000001</v>
      </c>
      <c r="Q7">
        <v>10</v>
      </c>
      <c r="R7">
        <v>808481</v>
      </c>
    </row>
    <row r="8">
      <c r="A8" t="s">
        <v>23</v>
      </c>
      <c r="B8" s="1">
        <v>45986</v>
      </c>
      <c r="D8" t="s">
        <v>16</v>
      </c>
      <c r="E8" t="s">
        <v>17</v>
      </c>
      <c r="F8">
        <v>25</v>
      </c>
      <c r="G8">
        <v>0</v>
      </c>
      <c r="I8">
        <v>0</v>
      </c>
      <c r="J8">
        <v>1</v>
      </c>
      <c r="K8">
        <v>0</v>
      </c>
      <c r="L8" s="5">
        <v>3600.0942190000001</v>
      </c>
      <c r="N8">
        <v>71</v>
      </c>
      <c r="O8">
        <v>36</v>
      </c>
      <c r="P8" s="6">
        <v>0.49295800000000001</v>
      </c>
      <c r="Q8">
        <v>10</v>
      </c>
      <c r="R8">
        <v>35882668</v>
      </c>
    </row>
    <row r="9">
      <c r="A9" t="s">
        <v>24</v>
      </c>
      <c r="B9" s="1">
        <v>45986</v>
      </c>
      <c r="D9" t="s">
        <v>16</v>
      </c>
      <c r="E9" t="s">
        <v>17</v>
      </c>
      <c r="F9">
        <v>25</v>
      </c>
      <c r="G9">
        <v>0</v>
      </c>
      <c r="I9">
        <v>1</v>
      </c>
      <c r="J9">
        <v>1</v>
      </c>
      <c r="K9">
        <v>1</v>
      </c>
      <c r="L9" s="5">
        <v>3600.0810120000001</v>
      </c>
      <c r="N9">
        <v>70</v>
      </c>
      <c r="O9">
        <v>34</v>
      </c>
      <c r="P9" s="6">
        <v>0.51428600000000002</v>
      </c>
      <c r="Q9">
        <v>10</v>
      </c>
      <c r="R9">
        <v>711561</v>
      </c>
    </row>
    <row r="10">
      <c r="A10" t="s">
        <v>25</v>
      </c>
      <c r="B10" s="1">
        <v>45986</v>
      </c>
      <c r="D10" t="s">
        <v>16</v>
      </c>
      <c r="E10" t="s">
        <v>17</v>
      </c>
      <c r="F10">
        <v>35</v>
      </c>
      <c r="G10">
        <v>0</v>
      </c>
      <c r="I10">
        <v>0</v>
      </c>
      <c r="J10">
        <v>1</v>
      </c>
      <c r="K10">
        <v>0</v>
      </c>
      <c r="L10" s="5">
        <v>3600.1235270000002</v>
      </c>
      <c r="N10" s="7">
        <v>96</v>
      </c>
      <c r="O10" s="7">
        <v>48</v>
      </c>
      <c r="P10" s="8">
        <v>0.5</v>
      </c>
      <c r="Q10">
        <v>10</v>
      </c>
      <c r="R10" s="9">
        <v>22185595</v>
      </c>
    </row>
    <row r="11">
      <c r="A11" t="s">
        <v>26</v>
      </c>
      <c r="B11" s="1">
        <v>45986</v>
      </c>
      <c r="D11" t="s">
        <v>16</v>
      </c>
      <c r="E11" t="s">
        <v>17</v>
      </c>
      <c r="F11">
        <v>35</v>
      </c>
      <c r="G11">
        <v>0</v>
      </c>
      <c r="I11">
        <v>1</v>
      </c>
      <c r="J11">
        <v>1</v>
      </c>
      <c r="K11">
        <v>1</v>
      </c>
      <c r="L11" s="10">
        <v>3600.3245390000002</v>
      </c>
      <c r="N11" s="11">
        <v>94</v>
      </c>
      <c r="O11" s="12">
        <v>48</v>
      </c>
      <c r="P11" s="6">
        <v>0.48936200000000002</v>
      </c>
      <c r="Q11">
        <v>10</v>
      </c>
      <c r="R11" s="13">
        <v>367208</v>
      </c>
    </row>
    <row r="12">
      <c r="A12" t="s">
        <v>27</v>
      </c>
      <c r="B12" s="1">
        <v>45987</v>
      </c>
      <c r="D12" t="s">
        <v>16</v>
      </c>
      <c r="E12" t="s">
        <v>17</v>
      </c>
      <c r="F12">
        <v>50</v>
      </c>
      <c r="G12">
        <v>0</v>
      </c>
      <c r="I12">
        <v>0</v>
      </c>
      <c r="J12">
        <v>1</v>
      </c>
      <c r="K12">
        <v>0</v>
      </c>
      <c r="L12" s="5">
        <v>3600.7901270000002</v>
      </c>
      <c r="N12" s="14">
        <v>164</v>
      </c>
      <c r="O12" s="7">
        <v>39</v>
      </c>
      <c r="P12" s="15">
        <v>0.76219499999999996</v>
      </c>
      <c r="Q12">
        <v>10</v>
      </c>
      <c r="R12" s="9">
        <v>12065498</v>
      </c>
    </row>
    <row r="13">
      <c r="A13" t="s">
        <v>28</v>
      </c>
      <c r="B13" s="1">
        <v>45987</v>
      </c>
      <c r="D13" t="s">
        <v>16</v>
      </c>
      <c r="E13" t="s">
        <v>17</v>
      </c>
      <c r="F13">
        <v>50</v>
      </c>
      <c r="G13">
        <v>0</v>
      </c>
      <c r="I13">
        <v>1</v>
      </c>
      <c r="J13">
        <v>1</v>
      </c>
      <c r="K13">
        <v>1</v>
      </c>
      <c r="L13" s="5">
        <v>3600.0991159999999</v>
      </c>
      <c r="N13" s="3">
        <v>153</v>
      </c>
      <c r="O13" s="12">
        <v>37.485207000000003</v>
      </c>
      <c r="P13" s="15">
        <v>0.75499899999999998</v>
      </c>
      <c r="Q13">
        <v>10</v>
      </c>
      <c r="R13" s="16">
        <v>72057</v>
      </c>
    </row>
    <row r="14"/>
    <row r="15">
      <c r="A15" t="s">
        <v>29</v>
      </c>
      <c r="B15" s="1">
        <v>45985</v>
      </c>
      <c r="D15" t="s">
        <v>30</v>
      </c>
      <c r="E15" t="s">
        <v>17</v>
      </c>
      <c r="F15">
        <v>10</v>
      </c>
      <c r="G15">
        <v>0</v>
      </c>
      <c r="I15">
        <v>0</v>
      </c>
      <c r="J15">
        <v>1</v>
      </c>
      <c r="K15">
        <v>0</v>
      </c>
      <c r="L15" s="6">
        <v>0.78524899999999997</v>
      </c>
      <c r="N15">
        <v>39</v>
      </c>
      <c r="O15">
        <v>39</v>
      </c>
      <c r="P15">
        <v>0</v>
      </c>
      <c r="Q15">
        <v>10</v>
      </c>
      <c r="R15">
        <v>31724</v>
      </c>
    </row>
    <row r="16">
      <c r="A16" t="s">
        <v>31</v>
      </c>
      <c r="B16" s="1">
        <v>45985</v>
      </c>
      <c r="D16" t="s">
        <v>30</v>
      </c>
      <c r="E16" t="s">
        <v>17</v>
      </c>
      <c r="F16">
        <v>10</v>
      </c>
      <c r="G16">
        <v>0</v>
      </c>
      <c r="I16">
        <v>1</v>
      </c>
      <c r="J16">
        <v>1</v>
      </c>
      <c r="K16">
        <v>1</v>
      </c>
      <c r="L16" s="15">
        <v>1.8725700000000001</v>
      </c>
      <c r="N16">
        <v>39</v>
      </c>
      <c r="O16">
        <v>39</v>
      </c>
      <c r="P16">
        <v>0</v>
      </c>
      <c r="Q16">
        <v>5</v>
      </c>
      <c r="R16">
        <v>3606</v>
      </c>
    </row>
    <row r="17">
      <c r="A17" t="s">
        <v>32</v>
      </c>
      <c r="B17" s="1">
        <v>45985</v>
      </c>
      <c r="D17" t="s">
        <v>30</v>
      </c>
      <c r="E17" t="s">
        <v>17</v>
      </c>
      <c r="F17">
        <v>15</v>
      </c>
      <c r="G17">
        <v>0</v>
      </c>
      <c r="I17">
        <v>0</v>
      </c>
      <c r="J17">
        <v>1</v>
      </c>
      <c r="K17">
        <v>0</v>
      </c>
      <c r="L17" s="3">
        <v>188.29295099999999</v>
      </c>
      <c r="N17">
        <v>45</v>
      </c>
      <c r="O17">
        <v>45</v>
      </c>
      <c r="P17">
        <v>0</v>
      </c>
      <c r="Q17">
        <v>10</v>
      </c>
      <c r="R17">
        <v>764170</v>
      </c>
    </row>
    <row r="18">
      <c r="A18" t="s">
        <v>33</v>
      </c>
      <c r="B18" s="1">
        <v>45985</v>
      </c>
      <c r="D18" t="s">
        <v>30</v>
      </c>
      <c r="E18" t="s">
        <v>17</v>
      </c>
      <c r="F18">
        <v>15</v>
      </c>
      <c r="G18">
        <v>0</v>
      </c>
      <c r="I18">
        <v>1</v>
      </c>
      <c r="J18">
        <v>1</v>
      </c>
      <c r="K18">
        <v>1</v>
      </c>
      <c r="L18" s="3">
        <v>451.58838800000001</v>
      </c>
      <c r="N18">
        <v>45</v>
      </c>
      <c r="O18">
        <v>45</v>
      </c>
      <c r="P18">
        <v>0</v>
      </c>
      <c r="Q18">
        <v>10</v>
      </c>
      <c r="R18">
        <v>56670</v>
      </c>
    </row>
    <row r="19">
      <c r="A19" t="s">
        <v>34</v>
      </c>
      <c r="B19" s="1">
        <v>45985</v>
      </c>
      <c r="D19" t="s">
        <v>30</v>
      </c>
      <c r="E19" t="s">
        <v>17</v>
      </c>
      <c r="F19">
        <v>20</v>
      </c>
      <c r="G19">
        <v>0</v>
      </c>
      <c r="I19">
        <v>0</v>
      </c>
      <c r="J19">
        <v>1</v>
      </c>
      <c r="K19">
        <v>0</v>
      </c>
      <c r="L19" s="5">
        <v>3600.0517620000001</v>
      </c>
      <c r="N19">
        <v>77</v>
      </c>
      <c r="O19">
        <v>50</v>
      </c>
      <c r="P19" s="6">
        <v>0.35064899999999999</v>
      </c>
      <c r="Q19">
        <v>10</v>
      </c>
      <c r="R19">
        <v>14442358</v>
      </c>
    </row>
    <row r="20">
      <c r="A20" t="s">
        <v>35</v>
      </c>
      <c r="B20" s="1">
        <v>45985</v>
      </c>
      <c r="D20" t="s">
        <v>30</v>
      </c>
      <c r="E20" t="s">
        <v>17</v>
      </c>
      <c r="F20">
        <v>20</v>
      </c>
      <c r="G20">
        <v>0</v>
      </c>
      <c r="I20">
        <v>1</v>
      </c>
      <c r="J20">
        <v>1</v>
      </c>
      <c r="K20">
        <v>1</v>
      </c>
      <c r="L20" s="17">
        <v>3600.120664</v>
      </c>
      <c r="N20">
        <v>77</v>
      </c>
      <c r="O20">
        <v>46</v>
      </c>
      <c r="P20" s="6">
        <v>0.40259699999999998</v>
      </c>
      <c r="Q20">
        <v>10</v>
      </c>
      <c r="R20">
        <v>591190</v>
      </c>
    </row>
    <row r="21">
      <c r="A21" t="s">
        <v>36</v>
      </c>
      <c r="B21" s="1">
        <v>45986</v>
      </c>
      <c r="D21" t="s">
        <v>30</v>
      </c>
      <c r="E21" t="s">
        <v>17</v>
      </c>
      <c r="F21">
        <v>25</v>
      </c>
      <c r="G21">
        <v>0</v>
      </c>
      <c r="I21">
        <v>0</v>
      </c>
      <c r="J21">
        <v>1</v>
      </c>
      <c r="K21">
        <v>0</v>
      </c>
      <c r="L21" s="5">
        <v>3600.1116940000002</v>
      </c>
      <c r="N21">
        <v>71</v>
      </c>
      <c r="O21">
        <v>36</v>
      </c>
      <c r="P21" s="6">
        <v>0.49295800000000001</v>
      </c>
      <c r="Q21">
        <v>10</v>
      </c>
      <c r="R21">
        <v>14465173</v>
      </c>
    </row>
    <row r="22">
      <c r="A22" t="s">
        <v>37</v>
      </c>
      <c r="B22" s="1">
        <v>45986</v>
      </c>
      <c r="D22" t="s">
        <v>30</v>
      </c>
      <c r="E22" t="s">
        <v>17</v>
      </c>
      <c r="F22">
        <v>25</v>
      </c>
      <c r="G22">
        <v>0</v>
      </c>
      <c r="I22">
        <v>1</v>
      </c>
      <c r="J22">
        <v>1</v>
      </c>
      <c r="K22">
        <v>1</v>
      </c>
      <c r="L22" s="17">
        <v>3600.602355</v>
      </c>
      <c r="N22">
        <v>70</v>
      </c>
      <c r="O22">
        <v>34</v>
      </c>
      <c r="P22" s="6">
        <v>0.51428600000000002</v>
      </c>
      <c r="Q22">
        <v>10</v>
      </c>
      <c r="R22">
        <v>464098</v>
      </c>
    </row>
    <row r="23">
      <c r="A23" t="s">
        <v>38</v>
      </c>
      <c r="B23" s="1">
        <v>45986</v>
      </c>
      <c r="D23" t="s">
        <v>30</v>
      </c>
      <c r="E23" t="s">
        <v>17</v>
      </c>
      <c r="F23">
        <v>35</v>
      </c>
      <c r="G23">
        <v>0</v>
      </c>
      <c r="I23">
        <v>0</v>
      </c>
      <c r="J23">
        <v>1</v>
      </c>
      <c r="K23">
        <v>0</v>
      </c>
      <c r="L23" s="5">
        <v>3600.094431</v>
      </c>
      <c r="N23" s="7">
        <v>96</v>
      </c>
      <c r="O23" s="7">
        <v>48</v>
      </c>
      <c r="P23" s="8">
        <v>0.5</v>
      </c>
      <c r="Q23">
        <v>10</v>
      </c>
      <c r="R23" s="18">
        <v>8534328</v>
      </c>
    </row>
    <row r="24">
      <c r="A24" t="s">
        <v>39</v>
      </c>
      <c r="B24" s="1">
        <v>45986</v>
      </c>
      <c r="D24" t="s">
        <v>30</v>
      </c>
      <c r="E24" t="s">
        <v>17</v>
      </c>
      <c r="F24">
        <v>35</v>
      </c>
      <c r="G24">
        <v>0</v>
      </c>
      <c r="I24">
        <v>1</v>
      </c>
      <c r="J24">
        <v>1</v>
      </c>
      <c r="K24">
        <v>1</v>
      </c>
      <c r="L24" s="5">
        <v>3600.384051</v>
      </c>
      <c r="N24" s="19">
        <v>93</v>
      </c>
      <c r="O24" s="7">
        <v>48</v>
      </c>
      <c r="P24" s="15">
        <v>0.483871</v>
      </c>
      <c r="Q24">
        <v>10</v>
      </c>
      <c r="R24" s="13">
        <v>303841</v>
      </c>
    </row>
    <row r="25">
      <c r="A25" t="s">
        <v>40</v>
      </c>
      <c r="B25" s="1">
        <v>45987</v>
      </c>
      <c r="D25" t="s">
        <v>30</v>
      </c>
      <c r="E25" t="s">
        <v>17</v>
      </c>
      <c r="F25">
        <v>50</v>
      </c>
      <c r="G25">
        <v>0</v>
      </c>
      <c r="I25">
        <v>0</v>
      </c>
      <c r="J25">
        <v>1</v>
      </c>
      <c r="K25">
        <v>0</v>
      </c>
      <c r="L25" s="10">
        <v>3600.0432810000002</v>
      </c>
      <c r="N25" s="14">
        <v>168</v>
      </c>
      <c r="O25" s="19">
        <v>47</v>
      </c>
      <c r="P25" s="15">
        <v>0.72023800000000004</v>
      </c>
      <c r="Q25">
        <v>10</v>
      </c>
      <c r="R25" s="18">
        <v>4969454</v>
      </c>
    </row>
    <row r="26">
      <c r="A26" t="s">
        <v>41</v>
      </c>
      <c r="B26" s="1">
        <v>45987</v>
      </c>
      <c r="D26" t="s">
        <v>30</v>
      </c>
      <c r="E26" t="s">
        <v>17</v>
      </c>
      <c r="F26">
        <v>50</v>
      </c>
      <c r="G26">
        <v>0</v>
      </c>
      <c r="I26">
        <v>1</v>
      </c>
      <c r="J26">
        <v>1</v>
      </c>
      <c r="K26">
        <v>1</v>
      </c>
      <c r="L26" s="10">
        <v>3600.1336040000001</v>
      </c>
      <c r="N26" s="3">
        <v>151</v>
      </c>
      <c r="O26" s="19">
        <v>41.708768999999997</v>
      </c>
      <c r="P26" s="20">
        <v>0.72378299999999995</v>
      </c>
      <c r="Q26">
        <v>10</v>
      </c>
      <c r="R26" s="13">
        <v>114165</v>
      </c>
    </row>
    <row r="27"/>
    <row r="28">
      <c r="A28" t="s">
        <v>42</v>
      </c>
      <c r="B28" s="1">
        <v>45985</v>
      </c>
      <c r="D28" t="s">
        <v>43</v>
      </c>
      <c r="E28" t="s">
        <v>17</v>
      </c>
      <c r="F28">
        <v>10</v>
      </c>
      <c r="G28">
        <v>0</v>
      </c>
      <c r="I28">
        <v>0</v>
      </c>
      <c r="J28">
        <v>1</v>
      </c>
      <c r="K28">
        <v>0</v>
      </c>
      <c r="L28" s="6">
        <v>0.86114199999999996</v>
      </c>
      <c r="N28">
        <v>39</v>
      </c>
      <c r="O28">
        <v>39</v>
      </c>
      <c r="P28">
        <v>0</v>
      </c>
      <c r="Q28">
        <v>7</v>
      </c>
      <c r="R28">
        <v>24961</v>
      </c>
    </row>
    <row r="29">
      <c r="A29" t="s">
        <v>44</v>
      </c>
      <c r="B29" s="1">
        <v>45985</v>
      </c>
      <c r="D29" t="s">
        <v>43</v>
      </c>
      <c r="E29" t="s">
        <v>17</v>
      </c>
      <c r="F29">
        <v>10</v>
      </c>
      <c r="G29">
        <v>0</v>
      </c>
      <c r="I29">
        <v>1</v>
      </c>
      <c r="J29">
        <v>1</v>
      </c>
      <c r="K29">
        <v>1</v>
      </c>
      <c r="L29" s="2">
        <v>2.944258</v>
      </c>
      <c r="N29">
        <v>39</v>
      </c>
      <c r="O29">
        <v>39</v>
      </c>
      <c r="P29">
        <v>0</v>
      </c>
      <c r="Q29">
        <v>8</v>
      </c>
      <c r="R29">
        <v>5143</v>
      </c>
    </row>
    <row r="30">
      <c r="A30" t="s">
        <v>45</v>
      </c>
      <c r="B30" s="1">
        <v>45985</v>
      </c>
      <c r="D30" t="s">
        <v>43</v>
      </c>
      <c r="E30" t="s">
        <v>17</v>
      </c>
      <c r="F30">
        <v>15</v>
      </c>
      <c r="G30">
        <v>0</v>
      </c>
      <c r="I30">
        <v>0</v>
      </c>
      <c r="J30">
        <v>1</v>
      </c>
      <c r="K30">
        <v>0</v>
      </c>
      <c r="L30" s="12">
        <v>32.982613000000001</v>
      </c>
      <c r="N30">
        <v>45</v>
      </c>
      <c r="O30">
        <v>45</v>
      </c>
      <c r="P30">
        <v>0</v>
      </c>
      <c r="Q30">
        <v>10</v>
      </c>
      <c r="R30">
        <v>65868</v>
      </c>
    </row>
    <row r="31">
      <c r="A31" t="s">
        <v>46</v>
      </c>
      <c r="B31" s="1">
        <v>45985</v>
      </c>
      <c r="D31" t="s">
        <v>43</v>
      </c>
      <c r="E31" t="s">
        <v>17</v>
      </c>
      <c r="F31">
        <v>15</v>
      </c>
      <c r="G31">
        <v>0</v>
      </c>
      <c r="I31">
        <v>1</v>
      </c>
      <c r="J31">
        <v>1</v>
      </c>
      <c r="K31">
        <v>1</v>
      </c>
      <c r="L31" s="4">
        <v>187.631575</v>
      </c>
      <c r="N31">
        <v>45</v>
      </c>
      <c r="O31">
        <v>45</v>
      </c>
      <c r="P31">
        <v>0</v>
      </c>
      <c r="Q31">
        <v>10</v>
      </c>
      <c r="R31">
        <v>22482</v>
      </c>
    </row>
    <row r="32">
      <c r="A32" t="s">
        <v>47</v>
      </c>
      <c r="B32" s="1">
        <v>45985</v>
      </c>
      <c r="D32" t="s">
        <v>43</v>
      </c>
      <c r="E32" t="s">
        <v>17</v>
      </c>
      <c r="F32">
        <v>20</v>
      </c>
      <c r="G32">
        <v>0</v>
      </c>
      <c r="I32">
        <v>0</v>
      </c>
      <c r="J32">
        <v>1</v>
      </c>
      <c r="K32">
        <v>0</v>
      </c>
      <c r="L32" s="5">
        <v>3600.1030730000002</v>
      </c>
      <c r="N32">
        <v>78</v>
      </c>
      <c r="O32">
        <v>49</v>
      </c>
      <c r="P32" s="6">
        <v>0.37179499999999999</v>
      </c>
      <c r="Q32">
        <v>10</v>
      </c>
      <c r="R32">
        <v>5554324</v>
      </c>
    </row>
    <row r="33">
      <c r="A33" t="s">
        <v>48</v>
      </c>
      <c r="B33" s="1">
        <v>45985</v>
      </c>
      <c r="D33" t="s">
        <v>43</v>
      </c>
      <c r="E33" t="s">
        <v>17</v>
      </c>
      <c r="F33">
        <v>20</v>
      </c>
      <c r="G33">
        <v>0</v>
      </c>
      <c r="I33">
        <v>1</v>
      </c>
      <c r="J33">
        <v>1</v>
      </c>
      <c r="K33">
        <v>1</v>
      </c>
      <c r="L33" s="17">
        <v>3601.245265</v>
      </c>
      <c r="N33">
        <v>80</v>
      </c>
      <c r="O33">
        <v>46</v>
      </c>
      <c r="P33" s="6">
        <v>0.42499999999999999</v>
      </c>
      <c r="Q33">
        <v>10</v>
      </c>
      <c r="R33">
        <v>447597</v>
      </c>
    </row>
    <row r="34">
      <c r="A34" t="s">
        <v>49</v>
      </c>
      <c r="B34" s="1">
        <v>45986</v>
      </c>
      <c r="D34" t="s">
        <v>43</v>
      </c>
      <c r="E34" t="s">
        <v>17</v>
      </c>
      <c r="F34">
        <v>25</v>
      </c>
      <c r="G34">
        <v>0</v>
      </c>
      <c r="I34">
        <v>0</v>
      </c>
      <c r="J34">
        <v>1</v>
      </c>
      <c r="K34">
        <v>0</v>
      </c>
      <c r="L34" s="5">
        <v>3600.1327339999998</v>
      </c>
      <c r="N34">
        <v>71</v>
      </c>
      <c r="O34">
        <v>34</v>
      </c>
      <c r="P34" s="6">
        <v>0.52112700000000001</v>
      </c>
      <c r="Q34">
        <v>10</v>
      </c>
      <c r="R34">
        <v>5601386</v>
      </c>
    </row>
    <row r="35">
      <c r="A35" t="s">
        <v>50</v>
      </c>
      <c r="B35" s="1">
        <v>45986</v>
      </c>
      <c r="D35" t="s">
        <v>43</v>
      </c>
      <c r="E35" t="s">
        <v>17</v>
      </c>
      <c r="F35">
        <v>25</v>
      </c>
      <c r="G35">
        <v>0</v>
      </c>
      <c r="I35">
        <v>1</v>
      </c>
      <c r="J35">
        <v>1</v>
      </c>
      <c r="K35">
        <v>1</v>
      </c>
      <c r="L35" s="5">
        <v>3600.3370100000002</v>
      </c>
      <c r="N35">
        <v>71</v>
      </c>
      <c r="O35">
        <v>34</v>
      </c>
      <c r="P35" s="6">
        <v>0.52112700000000001</v>
      </c>
      <c r="Q35">
        <v>10</v>
      </c>
      <c r="R35">
        <v>291570</v>
      </c>
    </row>
    <row r="36">
      <c r="A36" t="s">
        <v>51</v>
      </c>
      <c r="B36" s="1">
        <v>45986</v>
      </c>
      <c r="D36" t="s">
        <v>43</v>
      </c>
      <c r="E36" t="s">
        <v>17</v>
      </c>
      <c r="F36">
        <v>35</v>
      </c>
      <c r="G36">
        <v>0</v>
      </c>
      <c r="I36">
        <v>0</v>
      </c>
      <c r="J36">
        <v>1</v>
      </c>
      <c r="K36">
        <v>0</v>
      </c>
      <c r="L36" s="5">
        <v>3600.0331890000002</v>
      </c>
      <c r="N36" s="14">
        <v>102</v>
      </c>
      <c r="O36" s="7">
        <v>48</v>
      </c>
      <c r="P36" s="15">
        <v>0.52941199999999999</v>
      </c>
      <c r="Q36">
        <v>10</v>
      </c>
      <c r="R36" s="18">
        <v>2800285</v>
      </c>
    </row>
    <row r="37">
      <c r="A37" t="s">
        <v>52</v>
      </c>
      <c r="B37" s="1">
        <v>45986</v>
      </c>
      <c r="D37" t="s">
        <v>43</v>
      </c>
      <c r="E37" t="s">
        <v>17</v>
      </c>
      <c r="F37">
        <v>35</v>
      </c>
      <c r="G37">
        <v>0</v>
      </c>
      <c r="I37">
        <v>1</v>
      </c>
      <c r="J37">
        <v>1</v>
      </c>
      <c r="K37">
        <v>1</v>
      </c>
      <c r="L37" s="21">
        <v>3600.0649010000002</v>
      </c>
      <c r="N37" s="19">
        <v>97</v>
      </c>
      <c r="O37" s="7">
        <v>48</v>
      </c>
      <c r="P37" s="20">
        <v>0.50515500000000002</v>
      </c>
      <c r="Q37">
        <v>10</v>
      </c>
      <c r="R37" s="13">
        <v>172821</v>
      </c>
    </row>
    <row r="38">
      <c r="A38" t="s">
        <v>53</v>
      </c>
      <c r="B38" s="1">
        <v>45987</v>
      </c>
      <c r="D38" t="s">
        <v>43</v>
      </c>
      <c r="E38" t="s">
        <v>17</v>
      </c>
      <c r="F38">
        <v>50</v>
      </c>
      <c r="G38">
        <v>0</v>
      </c>
      <c r="I38">
        <v>0</v>
      </c>
      <c r="J38">
        <v>1</v>
      </c>
      <c r="K38">
        <v>0</v>
      </c>
      <c r="L38" s="10">
        <v>3600.051352</v>
      </c>
      <c r="N38" s="14">
        <v>190</v>
      </c>
      <c r="O38" s="7">
        <v>35</v>
      </c>
      <c r="P38" s="15">
        <v>0.81578899999999999</v>
      </c>
      <c r="Q38">
        <v>3</v>
      </c>
      <c r="R38" s="13">
        <v>744482</v>
      </c>
    </row>
    <row r="39">
      <c r="A39" t="s">
        <v>54</v>
      </c>
      <c r="B39" s="1">
        <v>45987</v>
      </c>
      <c r="D39" t="s">
        <v>43</v>
      </c>
      <c r="E39" t="s">
        <v>17</v>
      </c>
      <c r="F39">
        <v>50</v>
      </c>
      <c r="G39">
        <v>0</v>
      </c>
      <c r="I39">
        <v>1</v>
      </c>
      <c r="J39">
        <v>1</v>
      </c>
      <c r="K39">
        <v>1</v>
      </c>
      <c r="L39" s="5">
        <v>3600.0750109999999</v>
      </c>
      <c r="N39" s="3">
        <v>155</v>
      </c>
      <c r="O39" s="12">
        <v>40.028584000000002</v>
      </c>
      <c r="P39" s="15">
        <v>0.74175100000000005</v>
      </c>
      <c r="Q39">
        <v>10</v>
      </c>
      <c r="R39" s="16">
        <v>57084</v>
      </c>
    </row>
    <row r="40"/>
    <row r="41">
      <c r="A41" t="s">
        <v>55</v>
      </c>
      <c r="B41" s="1">
        <v>45985</v>
      </c>
      <c r="D41" t="s">
        <v>56</v>
      </c>
      <c r="E41" t="s">
        <v>17</v>
      </c>
      <c r="F41">
        <v>10</v>
      </c>
      <c r="G41">
        <v>0</v>
      </c>
      <c r="I41">
        <v>0</v>
      </c>
      <c r="J41">
        <v>1</v>
      </c>
      <c r="K41">
        <v>0</v>
      </c>
      <c r="L41" s="6">
        <v>0.36167199999999999</v>
      </c>
      <c r="N41">
        <v>39</v>
      </c>
      <c r="O41">
        <v>39</v>
      </c>
      <c r="P41">
        <v>0</v>
      </c>
      <c r="Q41">
        <v>8</v>
      </c>
      <c r="R41">
        <v>6516</v>
      </c>
    </row>
    <row r="42">
      <c r="A42" t="s">
        <v>57</v>
      </c>
      <c r="B42" s="1">
        <v>45985</v>
      </c>
      <c r="D42" t="s">
        <v>56</v>
      </c>
      <c r="E42" t="s">
        <v>17</v>
      </c>
      <c r="F42">
        <v>10</v>
      </c>
      <c r="G42">
        <v>0</v>
      </c>
      <c r="I42">
        <v>1</v>
      </c>
      <c r="J42">
        <v>1</v>
      </c>
      <c r="K42">
        <v>1</v>
      </c>
      <c r="L42" s="15">
        <v>6.4604650000000001</v>
      </c>
      <c r="N42">
        <v>39</v>
      </c>
      <c r="O42">
        <v>39</v>
      </c>
      <c r="P42">
        <v>0</v>
      </c>
      <c r="Q42">
        <v>10</v>
      </c>
      <c r="R42">
        <v>8243</v>
      </c>
    </row>
    <row r="43">
      <c r="A43" t="s">
        <v>58</v>
      </c>
      <c r="B43" s="1">
        <v>45985</v>
      </c>
      <c r="D43" t="s">
        <v>56</v>
      </c>
      <c r="E43" t="s">
        <v>17</v>
      </c>
      <c r="F43">
        <v>15</v>
      </c>
      <c r="G43">
        <v>0</v>
      </c>
      <c r="I43">
        <v>0</v>
      </c>
      <c r="J43">
        <v>1</v>
      </c>
      <c r="K43">
        <v>0</v>
      </c>
      <c r="L43" s="3">
        <v>140.07681199999999</v>
      </c>
      <c r="N43">
        <v>45</v>
      </c>
      <c r="O43">
        <v>45</v>
      </c>
      <c r="P43">
        <v>0</v>
      </c>
      <c r="Q43">
        <v>10</v>
      </c>
      <c r="R43">
        <v>200756</v>
      </c>
    </row>
    <row r="44">
      <c r="A44" t="s">
        <v>59</v>
      </c>
      <c r="B44" s="1">
        <v>45985</v>
      </c>
      <c r="D44" t="s">
        <v>56</v>
      </c>
      <c r="E44" t="s">
        <v>17</v>
      </c>
      <c r="F44">
        <v>15</v>
      </c>
      <c r="G44">
        <v>0</v>
      </c>
      <c r="I44">
        <v>1</v>
      </c>
      <c r="J44">
        <v>1</v>
      </c>
      <c r="K44">
        <v>1</v>
      </c>
      <c r="L44" s="3">
        <v>442.70009099999999</v>
      </c>
      <c r="N44">
        <v>45</v>
      </c>
      <c r="O44">
        <v>45</v>
      </c>
      <c r="P44">
        <v>0</v>
      </c>
      <c r="Q44">
        <v>10</v>
      </c>
      <c r="R44">
        <v>33956</v>
      </c>
    </row>
    <row r="45">
      <c r="A45" t="s">
        <v>60</v>
      </c>
      <c r="B45" s="1">
        <v>45985</v>
      </c>
      <c r="D45" t="s">
        <v>56</v>
      </c>
      <c r="E45" t="s">
        <v>17</v>
      </c>
      <c r="F45">
        <v>20</v>
      </c>
      <c r="G45">
        <v>0</v>
      </c>
      <c r="I45">
        <v>0</v>
      </c>
      <c r="J45">
        <v>1</v>
      </c>
      <c r="K45">
        <v>0</v>
      </c>
      <c r="L45" s="5">
        <v>3600.1630690000002</v>
      </c>
      <c r="N45">
        <v>77</v>
      </c>
      <c r="O45">
        <v>48</v>
      </c>
      <c r="P45" s="6">
        <v>0.37662299999999999</v>
      </c>
      <c r="Q45">
        <v>10</v>
      </c>
      <c r="R45">
        <v>2705958</v>
      </c>
    </row>
    <row r="46">
      <c r="A46" t="s">
        <v>61</v>
      </c>
      <c r="B46" s="1">
        <v>45985</v>
      </c>
      <c r="D46" t="s">
        <v>56</v>
      </c>
      <c r="E46" t="s">
        <v>17</v>
      </c>
      <c r="F46">
        <v>20</v>
      </c>
      <c r="G46">
        <v>0</v>
      </c>
      <c r="I46">
        <v>1</v>
      </c>
      <c r="J46">
        <v>1</v>
      </c>
      <c r="K46">
        <v>1</v>
      </c>
      <c r="L46" s="17">
        <v>3600.372316</v>
      </c>
      <c r="N46">
        <v>78</v>
      </c>
      <c r="O46">
        <v>48</v>
      </c>
      <c r="P46" s="6">
        <v>0.38461499999999998</v>
      </c>
      <c r="Q46">
        <v>10</v>
      </c>
      <c r="R46">
        <v>164372</v>
      </c>
    </row>
    <row r="47">
      <c r="A47" t="s">
        <v>62</v>
      </c>
      <c r="B47" s="1">
        <v>45986</v>
      </c>
      <c r="D47" t="s">
        <v>56</v>
      </c>
      <c r="E47" t="s">
        <v>17</v>
      </c>
      <c r="F47">
        <v>25</v>
      </c>
      <c r="G47">
        <v>0</v>
      </c>
      <c r="I47">
        <v>0</v>
      </c>
      <c r="J47">
        <v>1</v>
      </c>
      <c r="K47">
        <v>0</v>
      </c>
      <c r="L47" s="5">
        <v>3600.1633099999999</v>
      </c>
      <c r="N47">
        <v>70</v>
      </c>
      <c r="O47">
        <v>34</v>
      </c>
      <c r="P47" s="6">
        <v>0.51428600000000002</v>
      </c>
      <c r="Q47">
        <v>10</v>
      </c>
      <c r="R47">
        <v>2415871</v>
      </c>
    </row>
    <row r="48">
      <c r="A48" t="s">
        <v>63</v>
      </c>
      <c r="B48" s="1">
        <v>45986</v>
      </c>
      <c r="D48" t="s">
        <v>56</v>
      </c>
      <c r="E48" t="s">
        <v>17</v>
      </c>
      <c r="F48">
        <v>25</v>
      </c>
      <c r="G48">
        <v>0</v>
      </c>
      <c r="I48">
        <v>1</v>
      </c>
      <c r="J48">
        <v>1</v>
      </c>
      <c r="K48">
        <v>1</v>
      </c>
      <c r="L48" s="5">
        <v>3600.3667190000001</v>
      </c>
      <c r="N48" s="19">
        <v>70</v>
      </c>
      <c r="O48" s="7">
        <v>34</v>
      </c>
      <c r="P48" s="15">
        <v>0.51428600000000002</v>
      </c>
      <c r="Q48">
        <v>10</v>
      </c>
      <c r="R48" s="13">
        <v>195842</v>
      </c>
    </row>
    <row r="49">
      <c r="A49" t="s">
        <v>64</v>
      </c>
      <c r="B49" s="1">
        <v>45986</v>
      </c>
      <c r="D49" t="s">
        <v>56</v>
      </c>
      <c r="E49" t="s">
        <v>17</v>
      </c>
      <c r="F49">
        <v>35</v>
      </c>
      <c r="G49">
        <v>0</v>
      </c>
      <c r="I49">
        <v>0</v>
      </c>
      <c r="J49">
        <v>1</v>
      </c>
      <c r="K49">
        <v>0</v>
      </c>
      <c r="L49" s="21">
        <v>3600.0748010000002</v>
      </c>
      <c r="N49" s="7">
        <v>96</v>
      </c>
      <c r="O49" s="7">
        <v>48</v>
      </c>
      <c r="P49" s="8">
        <v>0.5</v>
      </c>
      <c r="Q49">
        <v>10</v>
      </c>
      <c r="R49" s="18">
        <v>1426926</v>
      </c>
    </row>
    <row r="50">
      <c r="A50" t="s">
        <v>65</v>
      </c>
      <c r="B50" s="1">
        <v>45986</v>
      </c>
      <c r="D50" t="s">
        <v>56</v>
      </c>
      <c r="E50" t="s">
        <v>17</v>
      </c>
      <c r="F50">
        <v>35</v>
      </c>
      <c r="G50">
        <v>0</v>
      </c>
      <c r="I50">
        <v>1</v>
      </c>
      <c r="J50">
        <v>1</v>
      </c>
      <c r="K50">
        <v>1</v>
      </c>
      <c r="L50" s="10">
        <v>3600.0725470000002</v>
      </c>
      <c r="N50" s="19">
        <v>95</v>
      </c>
      <c r="O50" s="7">
        <v>48</v>
      </c>
      <c r="P50" s="6">
        <v>0.49473699999999998</v>
      </c>
      <c r="Q50">
        <v>10</v>
      </c>
      <c r="R50" s="13">
        <v>122731</v>
      </c>
    </row>
    <row r="51">
      <c r="A51" t="s">
        <v>66</v>
      </c>
      <c r="B51" s="1">
        <v>45987</v>
      </c>
      <c r="D51" t="s">
        <v>56</v>
      </c>
      <c r="E51" t="s">
        <v>17</v>
      </c>
      <c r="F51">
        <v>50</v>
      </c>
      <c r="G51">
        <v>0</v>
      </c>
      <c r="I51">
        <v>0</v>
      </c>
      <c r="J51">
        <v>1</v>
      </c>
      <c r="K51">
        <v>0</v>
      </c>
      <c r="L51" s="5">
        <v>3600.044762</v>
      </c>
      <c r="N51" s="14">
        <v>163</v>
      </c>
      <c r="O51" s="7">
        <v>35</v>
      </c>
      <c r="P51" s="15">
        <v>0.78527599999999997</v>
      </c>
      <c r="Q51">
        <v>10</v>
      </c>
      <c r="R51" s="13">
        <v>263549</v>
      </c>
    </row>
    <row r="52">
      <c r="A52" t="s">
        <v>67</v>
      </c>
      <c r="B52" s="1">
        <v>45987</v>
      </c>
      <c r="D52" t="s">
        <v>56</v>
      </c>
      <c r="E52" t="s">
        <v>17</v>
      </c>
      <c r="F52">
        <v>50</v>
      </c>
      <c r="G52">
        <v>0</v>
      </c>
      <c r="I52">
        <v>1</v>
      </c>
      <c r="J52">
        <v>1</v>
      </c>
      <c r="K52">
        <v>1</v>
      </c>
      <c r="L52" s="5">
        <v>3600.0690610000001</v>
      </c>
      <c r="N52" s="22">
        <v>160</v>
      </c>
      <c r="O52" s="19">
        <v>40</v>
      </c>
      <c r="P52" s="15">
        <v>0.75</v>
      </c>
      <c r="Q52">
        <v>10</v>
      </c>
      <c r="R52" s="16">
        <v>15514</v>
      </c>
    </row>
    <row r="53"/>
    <row r="54">
      <c r="A54" t="s">
        <v>68</v>
      </c>
      <c r="B54" s="1">
        <v>45985</v>
      </c>
      <c r="D54" t="s">
        <v>69</v>
      </c>
      <c r="E54" t="s">
        <v>17</v>
      </c>
      <c r="F54">
        <v>10</v>
      </c>
      <c r="G54">
        <v>0</v>
      </c>
      <c r="I54">
        <v>0</v>
      </c>
      <c r="J54">
        <v>1</v>
      </c>
      <c r="K54">
        <v>0</v>
      </c>
      <c r="L54" s="6">
        <v>0.31766499999999998</v>
      </c>
      <c r="N54">
        <v>39</v>
      </c>
      <c r="O54">
        <v>39</v>
      </c>
      <c r="P54">
        <v>0</v>
      </c>
      <c r="Q54">
        <v>8</v>
      </c>
      <c r="R54">
        <v>12685</v>
      </c>
    </row>
    <row r="55">
      <c r="A55" t="s">
        <v>70</v>
      </c>
      <c r="B55" s="1">
        <v>45985</v>
      </c>
      <c r="D55" t="s">
        <v>69</v>
      </c>
      <c r="E55" t="s">
        <v>17</v>
      </c>
      <c r="F55">
        <v>10</v>
      </c>
      <c r="G55">
        <v>0</v>
      </c>
      <c r="I55">
        <v>1</v>
      </c>
      <c r="J55">
        <v>1</v>
      </c>
      <c r="K55">
        <v>1</v>
      </c>
      <c r="L55" s="23">
        <v>10.929558</v>
      </c>
      <c r="N55">
        <v>39</v>
      </c>
      <c r="O55">
        <v>39</v>
      </c>
      <c r="P55">
        <v>0</v>
      </c>
      <c r="Q55">
        <v>5</v>
      </c>
      <c r="R55">
        <v>17596</v>
      </c>
    </row>
    <row r="56">
      <c r="A56" t="s">
        <v>71</v>
      </c>
      <c r="B56" s="1">
        <v>45985</v>
      </c>
      <c r="D56" t="s">
        <v>69</v>
      </c>
      <c r="E56" t="s">
        <v>17</v>
      </c>
      <c r="F56">
        <v>15</v>
      </c>
      <c r="G56">
        <v>0</v>
      </c>
      <c r="I56">
        <v>0</v>
      </c>
      <c r="J56">
        <v>1</v>
      </c>
      <c r="K56">
        <v>0</v>
      </c>
      <c r="L56" s="24">
        <v>160.43661</v>
      </c>
      <c r="N56">
        <v>45</v>
      </c>
      <c r="O56">
        <v>45</v>
      </c>
      <c r="P56">
        <v>0</v>
      </c>
      <c r="Q56">
        <v>9</v>
      </c>
      <c r="R56">
        <v>715117</v>
      </c>
    </row>
    <row r="57">
      <c r="A57" t="s">
        <v>72</v>
      </c>
      <c r="B57" s="1">
        <v>45985</v>
      </c>
      <c r="D57" t="s">
        <v>69</v>
      </c>
      <c r="E57" t="s">
        <v>17</v>
      </c>
      <c r="F57">
        <v>15</v>
      </c>
      <c r="G57">
        <v>0</v>
      </c>
      <c r="I57">
        <v>1</v>
      </c>
      <c r="J57">
        <v>1</v>
      </c>
      <c r="K57">
        <v>1</v>
      </c>
      <c r="L57" s="17">
        <v>1001.657499</v>
      </c>
      <c r="N57">
        <v>45</v>
      </c>
      <c r="O57">
        <v>45</v>
      </c>
      <c r="P57">
        <v>0</v>
      </c>
      <c r="Q57">
        <v>10</v>
      </c>
      <c r="R57">
        <v>184050</v>
      </c>
    </row>
    <row r="58">
      <c r="A58" t="s">
        <v>73</v>
      </c>
      <c r="B58" s="1">
        <v>45985</v>
      </c>
      <c r="D58" t="s">
        <v>69</v>
      </c>
      <c r="E58" t="s">
        <v>17</v>
      </c>
      <c r="F58">
        <v>20</v>
      </c>
      <c r="G58">
        <v>0</v>
      </c>
      <c r="I58">
        <v>0</v>
      </c>
      <c r="J58">
        <v>1</v>
      </c>
      <c r="K58">
        <v>0</v>
      </c>
      <c r="L58" s="5">
        <v>3600.1202539999999</v>
      </c>
      <c r="N58">
        <v>79</v>
      </c>
      <c r="O58">
        <v>50</v>
      </c>
      <c r="P58" s="2">
        <v>0.367089</v>
      </c>
      <c r="Q58">
        <v>10</v>
      </c>
      <c r="R58">
        <v>10299714</v>
      </c>
    </row>
    <row r="59">
      <c r="A59" t="s">
        <v>74</v>
      </c>
      <c r="B59" s="1">
        <v>45985</v>
      </c>
      <c r="D59" t="s">
        <v>69</v>
      </c>
      <c r="E59" t="s">
        <v>17</v>
      </c>
      <c r="F59">
        <v>20</v>
      </c>
      <c r="G59">
        <v>0</v>
      </c>
      <c r="I59">
        <v>1</v>
      </c>
      <c r="J59">
        <v>1</v>
      </c>
      <c r="K59">
        <v>1</v>
      </c>
      <c r="L59" s="17">
        <v>3600.180327</v>
      </c>
      <c r="N59">
        <v>79</v>
      </c>
      <c r="O59">
        <v>46</v>
      </c>
      <c r="P59" s="6">
        <v>0.41772199999999998</v>
      </c>
      <c r="Q59">
        <v>10</v>
      </c>
      <c r="R59">
        <v>628767</v>
      </c>
    </row>
    <row r="60">
      <c r="A60" t="s">
        <v>75</v>
      </c>
      <c r="B60" s="1">
        <v>45986</v>
      </c>
      <c r="D60" t="s">
        <v>69</v>
      </c>
      <c r="E60" t="s">
        <v>17</v>
      </c>
      <c r="F60">
        <v>25</v>
      </c>
      <c r="G60">
        <v>0</v>
      </c>
      <c r="I60">
        <v>0</v>
      </c>
      <c r="J60">
        <v>1</v>
      </c>
      <c r="K60">
        <v>0</v>
      </c>
      <c r="L60" s="5">
        <v>3600.0997189999998</v>
      </c>
      <c r="N60">
        <v>72</v>
      </c>
      <c r="O60">
        <v>34</v>
      </c>
      <c r="P60" s="6">
        <v>0.52777799999999997</v>
      </c>
      <c r="Q60">
        <v>10</v>
      </c>
      <c r="R60">
        <v>9168123</v>
      </c>
    </row>
    <row r="61">
      <c r="A61" t="s">
        <v>76</v>
      </c>
      <c r="B61" s="1">
        <v>45986</v>
      </c>
      <c r="D61" t="s">
        <v>69</v>
      </c>
      <c r="E61" t="s">
        <v>17</v>
      </c>
      <c r="F61">
        <v>25</v>
      </c>
      <c r="G61">
        <v>0</v>
      </c>
      <c r="I61">
        <v>1</v>
      </c>
      <c r="J61">
        <v>1</v>
      </c>
      <c r="K61">
        <v>1</v>
      </c>
      <c r="L61" s="10">
        <v>3600.1160150000001</v>
      </c>
      <c r="N61" s="19">
        <v>68</v>
      </c>
      <c r="O61" s="7">
        <v>34</v>
      </c>
      <c r="P61" s="6">
        <v>0.5</v>
      </c>
      <c r="Q61">
        <v>10</v>
      </c>
      <c r="R61" s="13">
        <v>383142</v>
      </c>
    </row>
    <row r="62">
      <c r="A62" t="s">
        <v>77</v>
      </c>
      <c r="B62" s="1">
        <v>45986</v>
      </c>
      <c r="D62" t="s">
        <v>69</v>
      </c>
      <c r="E62" t="s">
        <v>17</v>
      </c>
      <c r="F62">
        <v>35</v>
      </c>
      <c r="G62">
        <v>0</v>
      </c>
      <c r="I62">
        <v>0</v>
      </c>
      <c r="J62">
        <v>1</v>
      </c>
      <c r="K62">
        <v>0</v>
      </c>
      <c r="L62" s="10">
        <v>3600.0303650000001</v>
      </c>
      <c r="N62" s="7">
        <v>99</v>
      </c>
      <c r="O62" s="7">
        <v>48</v>
      </c>
      <c r="P62" s="15">
        <v>0.51515200000000005</v>
      </c>
      <c r="Q62">
        <v>10</v>
      </c>
      <c r="R62" s="18">
        <v>7015153</v>
      </c>
    </row>
    <row r="63">
      <c r="A63" t="s">
        <v>78</v>
      </c>
      <c r="B63" s="1">
        <v>45987</v>
      </c>
      <c r="D63" t="s">
        <v>69</v>
      </c>
      <c r="E63" t="s">
        <v>17</v>
      </c>
      <c r="F63">
        <v>35</v>
      </c>
      <c r="G63">
        <v>0</v>
      </c>
      <c r="I63">
        <v>1</v>
      </c>
      <c r="J63">
        <v>1</v>
      </c>
      <c r="K63">
        <v>1</v>
      </c>
      <c r="L63" s="5">
        <v>3600.0809450000002</v>
      </c>
      <c r="N63" s="19">
        <v>92</v>
      </c>
      <c r="O63" s="7">
        <v>48</v>
      </c>
      <c r="P63" s="15">
        <v>0.47826099999999999</v>
      </c>
      <c r="Q63">
        <v>10</v>
      </c>
      <c r="R63" s="13">
        <v>336737</v>
      </c>
    </row>
    <row r="64">
      <c r="A64" t="s">
        <v>79</v>
      </c>
      <c r="B64" s="1">
        <v>45987</v>
      </c>
      <c r="D64" t="s">
        <v>69</v>
      </c>
      <c r="E64" t="s">
        <v>17</v>
      </c>
      <c r="F64">
        <v>50</v>
      </c>
      <c r="G64">
        <v>0</v>
      </c>
      <c r="I64">
        <v>0</v>
      </c>
      <c r="J64">
        <v>1</v>
      </c>
      <c r="K64">
        <v>0</v>
      </c>
      <c r="L64" s="5">
        <v>3600.0451210000001</v>
      </c>
      <c r="N64" s="14">
        <v>171</v>
      </c>
      <c r="O64" s="7">
        <v>51</v>
      </c>
      <c r="P64" s="15">
        <v>0.70175399999999999</v>
      </c>
      <c r="Q64">
        <v>10</v>
      </c>
      <c r="R64" s="18">
        <v>2425960</v>
      </c>
    </row>
    <row r="65">
      <c r="A65" t="s">
        <v>80</v>
      </c>
      <c r="B65" s="1">
        <v>45987</v>
      </c>
      <c r="D65" t="s">
        <v>69</v>
      </c>
      <c r="E65" t="s">
        <v>17</v>
      </c>
      <c r="F65">
        <v>50</v>
      </c>
      <c r="G65">
        <v>0</v>
      </c>
      <c r="I65">
        <v>1</v>
      </c>
      <c r="J65">
        <v>1</v>
      </c>
      <c r="K65">
        <v>1</v>
      </c>
      <c r="L65" s="10">
        <v>3600.075092</v>
      </c>
      <c r="N65" s="22">
        <v>156</v>
      </c>
      <c r="O65" s="19">
        <v>36.125442</v>
      </c>
      <c r="P65" s="15">
        <v>0.76842699999999997</v>
      </c>
      <c r="Q65">
        <v>10</v>
      </c>
      <c r="R65" s="13">
        <v>126057</v>
      </c>
    </row>
    <row r="66"/>
    <row r="67">
      <c r="A67" t="s">
        <v>81</v>
      </c>
      <c r="B67" s="1">
        <v>45985</v>
      </c>
      <c r="D67" t="s">
        <v>82</v>
      </c>
      <c r="E67" t="s">
        <v>17</v>
      </c>
      <c r="F67">
        <v>10</v>
      </c>
      <c r="G67">
        <v>0</v>
      </c>
      <c r="I67">
        <v>0</v>
      </c>
      <c r="J67">
        <v>1</v>
      </c>
      <c r="K67">
        <v>0</v>
      </c>
      <c r="L67" s="6">
        <v>0.87937600000000005</v>
      </c>
      <c r="N67">
        <v>39</v>
      </c>
      <c r="O67">
        <v>39</v>
      </c>
      <c r="P67">
        <v>0</v>
      </c>
      <c r="Q67">
        <v>8</v>
      </c>
      <c r="R67">
        <v>8685</v>
      </c>
    </row>
    <row r="68">
      <c r="A68" t="s">
        <v>83</v>
      </c>
      <c r="B68" s="1">
        <v>45985</v>
      </c>
      <c r="D68" t="s">
        <v>82</v>
      </c>
      <c r="E68" t="s">
        <v>17</v>
      </c>
      <c r="F68">
        <v>10</v>
      </c>
      <c r="G68">
        <v>0</v>
      </c>
      <c r="I68">
        <v>1</v>
      </c>
      <c r="J68">
        <v>1</v>
      </c>
      <c r="K68">
        <v>1</v>
      </c>
      <c r="L68" s="12">
        <v>20.617100000000001</v>
      </c>
      <c r="N68">
        <v>39</v>
      </c>
      <c r="O68">
        <v>39</v>
      </c>
      <c r="P68">
        <v>0</v>
      </c>
      <c r="Q68">
        <v>8</v>
      </c>
      <c r="R68">
        <v>25606</v>
      </c>
    </row>
    <row r="69">
      <c r="A69" t="s">
        <v>84</v>
      </c>
      <c r="B69" s="1">
        <v>45985</v>
      </c>
      <c r="D69" t="s">
        <v>82</v>
      </c>
      <c r="E69" t="s">
        <v>17</v>
      </c>
      <c r="F69">
        <v>15</v>
      </c>
      <c r="G69">
        <v>0</v>
      </c>
      <c r="I69">
        <v>0</v>
      </c>
      <c r="J69">
        <v>1</v>
      </c>
      <c r="K69">
        <v>0</v>
      </c>
      <c r="L69" s="17">
        <v>2215.127332</v>
      </c>
      <c r="N69">
        <v>45</v>
      </c>
      <c r="O69">
        <v>45</v>
      </c>
      <c r="P69">
        <v>0</v>
      </c>
      <c r="Q69">
        <v>10</v>
      </c>
      <c r="R69">
        <v>8396456</v>
      </c>
    </row>
    <row r="70">
      <c r="A70" t="s">
        <v>85</v>
      </c>
      <c r="B70" s="1">
        <v>45985</v>
      </c>
      <c r="D70" t="s">
        <v>82</v>
      </c>
      <c r="E70" t="s">
        <v>17</v>
      </c>
      <c r="F70">
        <v>15</v>
      </c>
      <c r="G70">
        <v>0</v>
      </c>
      <c r="I70">
        <v>1</v>
      </c>
      <c r="J70">
        <v>1</v>
      </c>
      <c r="K70">
        <v>1</v>
      </c>
      <c r="L70" s="17">
        <v>1856.327618</v>
      </c>
      <c r="N70">
        <v>45</v>
      </c>
      <c r="O70">
        <v>45</v>
      </c>
      <c r="P70">
        <v>0</v>
      </c>
      <c r="Q70">
        <v>10</v>
      </c>
      <c r="R70">
        <v>575016</v>
      </c>
    </row>
    <row r="71">
      <c r="A71" t="s">
        <v>86</v>
      </c>
      <c r="B71" s="1">
        <v>45985</v>
      </c>
      <c r="D71" t="s">
        <v>82</v>
      </c>
      <c r="E71" t="s">
        <v>17</v>
      </c>
      <c r="F71">
        <v>20</v>
      </c>
      <c r="G71">
        <v>0</v>
      </c>
      <c r="I71">
        <v>0</v>
      </c>
      <c r="J71">
        <v>1</v>
      </c>
      <c r="K71">
        <v>0</v>
      </c>
      <c r="L71" s="5">
        <v>3600.0869630000002</v>
      </c>
      <c r="N71">
        <v>81</v>
      </c>
      <c r="O71">
        <v>45</v>
      </c>
      <c r="P71" s="6">
        <v>0.44444400000000001</v>
      </c>
      <c r="Q71">
        <v>10</v>
      </c>
      <c r="R71">
        <v>7138090</v>
      </c>
    </row>
    <row r="72">
      <c r="A72" t="s">
        <v>87</v>
      </c>
      <c r="B72" s="1">
        <v>45986</v>
      </c>
      <c r="D72" t="s">
        <v>82</v>
      </c>
      <c r="E72" t="s">
        <v>17</v>
      </c>
      <c r="F72">
        <v>20</v>
      </c>
      <c r="G72">
        <v>0</v>
      </c>
      <c r="I72">
        <v>1</v>
      </c>
      <c r="J72">
        <v>1</v>
      </c>
      <c r="K72">
        <v>1</v>
      </c>
      <c r="L72" s="25">
        <v>3600.08167</v>
      </c>
      <c r="N72">
        <v>80</v>
      </c>
      <c r="O72">
        <v>41</v>
      </c>
      <c r="P72" s="6">
        <v>0.48749999999999999</v>
      </c>
      <c r="Q72">
        <v>10</v>
      </c>
      <c r="R72">
        <v>920245</v>
      </c>
    </row>
    <row r="73">
      <c r="A73" t="s">
        <v>88</v>
      </c>
      <c r="B73" s="1">
        <v>45986</v>
      </c>
      <c r="D73" t="s">
        <v>82</v>
      </c>
      <c r="E73" t="s">
        <v>17</v>
      </c>
      <c r="F73">
        <v>25</v>
      </c>
      <c r="G73">
        <v>0</v>
      </c>
      <c r="I73">
        <v>0</v>
      </c>
      <c r="J73">
        <v>1</v>
      </c>
      <c r="K73">
        <v>0</v>
      </c>
      <c r="L73" s="5">
        <v>3600.1695669999999</v>
      </c>
      <c r="N73">
        <v>72</v>
      </c>
      <c r="O73">
        <v>34</v>
      </c>
      <c r="P73" s="6">
        <v>0.52777799999999997</v>
      </c>
      <c r="Q73">
        <v>10</v>
      </c>
      <c r="R73">
        <v>6254614</v>
      </c>
    </row>
    <row r="74">
      <c r="A74" t="s">
        <v>89</v>
      </c>
      <c r="B74" s="1">
        <v>45986</v>
      </c>
      <c r="D74" t="s">
        <v>82</v>
      </c>
      <c r="E74" t="s">
        <v>17</v>
      </c>
      <c r="F74">
        <v>25</v>
      </c>
      <c r="G74">
        <v>0</v>
      </c>
      <c r="I74">
        <v>1</v>
      </c>
      <c r="J74">
        <v>1</v>
      </c>
      <c r="K74">
        <v>1</v>
      </c>
      <c r="L74" s="10">
        <v>3600.1232519999999</v>
      </c>
      <c r="N74" s="19">
        <v>69</v>
      </c>
      <c r="O74" s="7">
        <v>34</v>
      </c>
      <c r="P74" s="15">
        <v>0.50724599999999997</v>
      </c>
      <c r="Q74">
        <v>10</v>
      </c>
      <c r="R74" s="13">
        <v>528142</v>
      </c>
    </row>
    <row r="75">
      <c r="A75" t="s">
        <v>90</v>
      </c>
      <c r="B75" s="1">
        <v>45986</v>
      </c>
      <c r="D75" t="s">
        <v>82</v>
      </c>
      <c r="E75" t="s">
        <v>17</v>
      </c>
      <c r="F75">
        <v>35</v>
      </c>
      <c r="G75">
        <v>0</v>
      </c>
      <c r="I75">
        <v>0</v>
      </c>
      <c r="J75">
        <v>1</v>
      </c>
      <c r="K75">
        <v>0</v>
      </c>
      <c r="L75" s="5">
        <v>3600.038309</v>
      </c>
      <c r="N75" s="7">
        <v>99</v>
      </c>
      <c r="O75" s="7">
        <v>48</v>
      </c>
      <c r="P75" s="15">
        <v>0.51515200000000005</v>
      </c>
      <c r="Q75">
        <v>10</v>
      </c>
      <c r="R75" s="18">
        <v>4105699</v>
      </c>
    </row>
    <row r="76">
      <c r="A76" t="s">
        <v>91</v>
      </c>
      <c r="B76" s="1">
        <v>45987</v>
      </c>
      <c r="D76" t="s">
        <v>82</v>
      </c>
      <c r="E76" t="s">
        <v>17</v>
      </c>
      <c r="F76">
        <v>35</v>
      </c>
      <c r="G76">
        <v>0</v>
      </c>
      <c r="I76">
        <v>1</v>
      </c>
      <c r="J76">
        <v>1</v>
      </c>
      <c r="K76">
        <v>1</v>
      </c>
      <c r="L76" s="10">
        <v>3600.0620709999998</v>
      </c>
      <c r="N76" s="19">
        <v>93</v>
      </c>
      <c r="O76" s="7">
        <v>48</v>
      </c>
      <c r="P76" s="6">
        <v>0.483871</v>
      </c>
      <c r="Q76">
        <v>10</v>
      </c>
      <c r="R76" s="13">
        <v>232142</v>
      </c>
    </row>
    <row r="77">
      <c r="A77" t="s">
        <v>92</v>
      </c>
      <c r="B77" s="1">
        <v>45987</v>
      </c>
      <c r="D77" t="s">
        <v>82</v>
      </c>
      <c r="E77" t="s">
        <v>17</v>
      </c>
      <c r="F77">
        <v>50</v>
      </c>
      <c r="G77">
        <v>0</v>
      </c>
      <c r="I77">
        <v>0</v>
      </c>
      <c r="J77">
        <v>1</v>
      </c>
      <c r="K77">
        <v>0</v>
      </c>
      <c r="L77" s="10">
        <v>3600.0534539999999</v>
      </c>
      <c r="N77" s="14">
        <v>173</v>
      </c>
      <c r="O77" s="7">
        <v>42</v>
      </c>
      <c r="P77" s="15">
        <v>0.75722500000000004</v>
      </c>
      <c r="Q77">
        <v>10</v>
      </c>
      <c r="R77" s="18">
        <v>1829748</v>
      </c>
    </row>
    <row r="78">
      <c r="A78" t="s">
        <v>93</v>
      </c>
      <c r="B78" s="1">
        <v>45987</v>
      </c>
      <c r="D78" t="s">
        <v>82</v>
      </c>
      <c r="E78" t="s">
        <v>17</v>
      </c>
      <c r="F78">
        <v>50</v>
      </c>
      <c r="G78">
        <v>0</v>
      </c>
      <c r="I78">
        <v>1</v>
      </c>
      <c r="J78">
        <v>1</v>
      </c>
      <c r="K78">
        <v>1</v>
      </c>
      <c r="L78" s="5">
        <v>3600.068949</v>
      </c>
      <c r="N78" s="3">
        <v>152</v>
      </c>
      <c r="O78" s="12">
        <v>35.430981000000003</v>
      </c>
      <c r="P78" s="15">
        <v>0.76690100000000005</v>
      </c>
      <c r="Q78">
        <v>10</v>
      </c>
      <c r="R78" s="16">
        <v>53486</v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A1" activeCellId="0" sqref="A1"/>
    </sheetView>
  </sheetViews>
  <sheetFormatPr defaultRowHeight="14.25"/>
  <cols>
    <col customWidth="1" min="3" max="3" width="9.140625"/>
  </cols>
  <sheetData>
    <row r="1" ht="14.25">
      <c r="C1" t="s">
        <v>94</v>
      </c>
      <c r="D1" s="26"/>
    </row>
    <row r="2" ht="14.25">
      <c r="C2" s="27" t="s">
        <v>16</v>
      </c>
      <c r="D2" s="28" t="s">
        <v>30</v>
      </c>
      <c r="E2" s="29" t="s">
        <v>43</v>
      </c>
      <c r="F2" s="29" t="s">
        <v>56</v>
      </c>
      <c r="G2" s="29" t="s">
        <v>95</v>
      </c>
      <c r="H2" s="29" t="s">
        <v>96</v>
      </c>
    </row>
    <row r="3" ht="14.25">
      <c r="C3" s="30" t="str">
        <f>IF(Data!L2&lt;3600,IF(Data!L2&lt;120,TEXT(Data!L2,"0.00")&amp;"s",TEXT(Data!L2,"0")&amp;"s"),TEXT(Data!P2*100,"0")&amp;"%")</f>
        <v>0.24s</v>
      </c>
      <c r="D3" s="31" t="str">
        <f>IF(Data!L15&lt;3600,IF(Data!L15&lt;120,TEXT(Data!L15,"0.00")&amp;"s",TEXT(Data!L15,"0")&amp;"s"),TEXT(Data!P15*100,"0")&amp;"%")</f>
        <v>0.79s</v>
      </c>
      <c r="E3" s="31" t="str">
        <f>IF(Data!L28&lt;3600,IF(Data!L28&lt;120,TEXT(Data!L28,"0.00")&amp;"s",TEXT(Data!L28,"0")&amp;"s"),TEXT(Data!P28*100,"0")&amp;"%")</f>
        <v>0.86s</v>
      </c>
      <c r="F3" s="31" t="str">
        <f>IF(Data!L41&lt;3600,IF(Data!L41&lt;120,TEXT(Data!L41,"0.00")&amp;"s",TEXT(Data!L41,"0")&amp;"s"),TEXT(Data!P41*100,"0")&amp;"%")</f>
        <v>0.36s</v>
      </c>
      <c r="G3" s="31" t="str">
        <f>IF(Data!L54&lt;3600,IF(Data!L54&lt;120,TEXT(Data!L54,"0.00")&amp;"s",TEXT(Data!L54,"0")&amp;"s"),TEXT(Data!P54*100,"0")&amp;"%")</f>
        <v>0.32s</v>
      </c>
      <c r="H3" s="31" t="str">
        <f>IF(Data!L67&lt;3600,IF(Data!L67&lt;120,TEXT(Data!L67,"0.00")&amp;"s",TEXT(Data!L67,"0")&amp;"s"),TEXT(Data!P67*100,"0")&amp;"%")</f>
        <v>0.88s</v>
      </c>
    </row>
    <row r="4" ht="14.25">
      <c r="C4" s="31" t="str">
        <f>IF(Data!L3&lt;3600,IF(Data!L3&lt;120,TEXT(Data!L3,"0.00")&amp;"s",TEXT(Data!L3,"0")&amp;"s"),TEXT(Data!P3*100,"0")&amp;"%")</f>
        <v>1.44s</v>
      </c>
      <c r="D4" s="31" t="str">
        <f>IF(Data!L16&lt;3600,IF(Data!L16&lt;120,TEXT(Data!L16,"0.00")&amp;"s",TEXT(Data!L16,"0")&amp;"s"),TEXT(Data!P16*100,"0")&amp;"%")</f>
        <v>1.87s</v>
      </c>
      <c r="E4" s="31" t="str">
        <f>IF(Data!L29&lt;3600,IF(Data!L29&lt;120,TEXT(Data!L29,"0.00")&amp;"s",TEXT(Data!L29,"0")&amp;"s"),TEXT(Data!P29*100,"0")&amp;"%")</f>
        <v>2.94s</v>
      </c>
      <c r="F4" s="31" t="str">
        <f>IF(Data!L42&lt;3600,IF(Data!L42&lt;120,TEXT(Data!L42,"0.00")&amp;"s",TEXT(Data!L42,"0")&amp;"s"),TEXT(Data!P42*100,"0")&amp;"%")</f>
        <v>6.46s</v>
      </c>
      <c r="G4" s="31" t="str">
        <f>IF(Data!L55&lt;3600,IF(Data!L55&lt;120,TEXT(Data!L55,"0.00")&amp;"s",TEXT(Data!L55,"0")&amp;"s"),TEXT(Data!P55*100,"0")&amp;"%")</f>
        <v>10.93s</v>
      </c>
      <c r="H4" s="32" t="str">
        <f>IF(Data!L68&lt;3600,IF(Data!L68&lt;120,TEXT(Data!L68,"0.00")&amp;"s",TEXT(Data!L68,"0")&amp;"s"),TEXT(Data!P68*100,"0")&amp;"%")</f>
        <v>20.62s</v>
      </c>
    </row>
    <row r="5" ht="14.25">
      <c r="C5" s="31" t="str">
        <f>IF(Data!L4&lt;3600,IF(Data!L4&lt;120,TEXT(Data!L4,"0.00")&amp;"s",TEXT(Data!L4,"0")&amp;"s"),TEXT(Data!P4*100,"0")&amp;"%")</f>
        <v>501s</v>
      </c>
      <c r="D5" s="31" t="str">
        <f>IF(Data!L17&lt;3600,IF(Data!L17&lt;120,TEXT(Data!L17,"0.00")&amp;"s",TEXT(Data!L17,"0")&amp;"s"),TEXT(Data!P17*100,"0")&amp;"%")</f>
        <v>188s</v>
      </c>
      <c r="E5" s="30" t="str">
        <f>IF(Data!L30&lt;3600,IF(Data!L30&lt;120,TEXT(Data!L30,"0.00")&amp;"s",TEXT(Data!L30,"0")&amp;"s"),TEXT(Data!P30*100,"0")&amp;"%")</f>
        <v>32.98s</v>
      </c>
      <c r="F5" s="31" t="str">
        <f>IF(Data!L43&lt;3600,IF(Data!L43&lt;120,TEXT(Data!L43,"0.00")&amp;"s",TEXT(Data!L43,"0")&amp;"s"),TEXT(Data!P43*100,"0")&amp;"%")</f>
        <v>140s</v>
      </c>
      <c r="G5" s="31" t="str">
        <f>IF(Data!L56&lt;3600,IF(Data!L56&lt;120,TEXT(Data!L56,"0.00")&amp;"s",TEXT(Data!L56,"0")&amp;"s"),TEXT(Data!P56*100,"0")&amp;"%")</f>
        <v>160s</v>
      </c>
      <c r="H5" s="32" t="str">
        <f>IF(Data!L69&lt;3600,IF(Data!L69&lt;120,TEXT(Data!L69,"0.00")&amp;"s",TEXT(Data!L69,"0")&amp;"s"),TEXT(Data!P69*100,"0")&amp;"%")</f>
        <v>2215s</v>
      </c>
    </row>
    <row r="6" ht="14.25">
      <c r="C6" s="31" t="str">
        <f>IF(Data!L5&lt;3600,IF(Data!L5&lt;120,TEXT(Data!L5,"0.00")&amp;"s",TEXT(Data!L5,"0")&amp;"s"),TEXT(Data!P5*100,"0")&amp;"%")</f>
        <v>412s</v>
      </c>
      <c r="D6" s="31" t="str">
        <f>IF(Data!L18&lt;3600,IF(Data!L18&lt;120,TEXT(Data!L18,"0.00")&amp;"s",TEXT(Data!L18,"0")&amp;"s"),TEXT(Data!P18*100,"0")&amp;"%")</f>
        <v>452s</v>
      </c>
      <c r="E6" s="31" t="str">
        <f>IF(Data!L31&lt;3600,IF(Data!L31&lt;120,TEXT(Data!L31,"0.00")&amp;"s",TEXT(Data!L31,"0")&amp;"s"),TEXT(Data!P31*100,"0")&amp;"%")</f>
        <v>188s</v>
      </c>
      <c r="F6" s="31" t="str">
        <f>IF(Data!L44&lt;3600,IF(Data!L44&lt;120,TEXT(Data!L44,"0.00")&amp;"s",TEXT(Data!L44,"0")&amp;"s"),TEXT(Data!P44*100,"0")&amp;"%")</f>
        <v>443s</v>
      </c>
      <c r="G6" s="31" t="str">
        <f>IF(Data!L57&lt;3600,IF(Data!L57&lt;120,TEXT(Data!L57,"0.00")&amp;"s",TEXT(Data!L57,"0")&amp;"s"),TEXT(Data!P57*100,"0")&amp;"%")</f>
        <v>1002s</v>
      </c>
      <c r="H6" s="31" t="str">
        <f>IF(Data!L70&lt;3600,IF(Data!L70&lt;120,TEXT(Data!L70,"0.00")&amp;"s",TEXT(Data!L70,"0")&amp;"s"),TEXT(Data!P70*100,"0")&amp;"%")</f>
        <v>1856s</v>
      </c>
    </row>
    <row r="7" ht="14.25">
      <c r="C7" s="31" t="str">
        <f>IF(Data!L6&lt;3600,IF(Data!L6&lt;120,TEXT(Data!L6,"0.00")&amp;"s",TEXT(Data!L6,"0")&amp;"s"),TEXT(Data!P6*100,"0")&amp;"%")</f>
        <v>39%</v>
      </c>
      <c r="D7" s="30" t="str">
        <f>IF(Data!L19&lt;3600,IF(Data!L19&lt;120,TEXT(Data!L19,"0.00")&amp;"s",TEXT(Data!L19,"0")&amp;"s"),TEXT(Data!P19*100,"0")&amp;"%")</f>
        <v>35%</v>
      </c>
      <c r="E7" s="31" t="str">
        <f>IF(Data!L32&lt;3600,IF(Data!L32&lt;120,TEXT(Data!L32,"0.00")&amp;"s",TEXT(Data!L32,"0")&amp;"s"),TEXT(Data!P32*100,"0")&amp;"%")</f>
        <v>37%</v>
      </c>
      <c r="F7" s="31" t="str">
        <f>IF(Data!L45&lt;3600,IF(Data!L45&lt;120,TEXT(Data!L45,"0.00")&amp;"s",TEXT(Data!L45,"0")&amp;"s"),TEXT(Data!P45*100,"0")&amp;"%")</f>
        <v>38%</v>
      </c>
      <c r="G7" s="31" t="str">
        <f>IF(Data!L58&lt;3600,IF(Data!L58&lt;120,TEXT(Data!L58,"0.00")&amp;"s",TEXT(Data!L58,"0")&amp;"s"),TEXT(Data!P58*100,"0")&amp;"%")</f>
        <v>37%</v>
      </c>
      <c r="H7" s="31" t="str">
        <f>IF(Data!L71&lt;3600,IF(Data!L71&lt;120,TEXT(Data!L71,"0.00")&amp;"s",TEXT(Data!L71,"0")&amp;"s"),TEXT(Data!P71*100,"0")&amp;"%")</f>
        <v>44%</v>
      </c>
    </row>
    <row r="8" ht="14.25">
      <c r="C8" s="31" t="str">
        <f>IF(Data!L7&lt;3600,IF(Data!L7&lt;120,TEXT(Data!L7,"0.00")&amp;"s",TEXT(Data!L7,"0")&amp;"s"),TEXT(Data!P7*100,"0")&amp;"%")</f>
        <v>41%</v>
      </c>
      <c r="D8" s="31" t="str">
        <f>IF(Data!L20&lt;3600,IF(Data!L20&lt;120,TEXT(Data!L20,"0.00")&amp;"s",TEXT(Data!L20,"0")&amp;"s"),TEXT(Data!P20*100,"0")&amp;"%")</f>
        <v>40%</v>
      </c>
      <c r="E8" s="31" t="str">
        <f>IF(Data!L33&lt;3600,IF(Data!L33&lt;120,TEXT(Data!L33,"0.00")&amp;"s",TEXT(Data!L33,"0")&amp;"s"),TEXT(Data!P33*100,"0")&amp;"%")</f>
        <v>43%</v>
      </c>
      <c r="F8" s="31" t="str">
        <f>IF(Data!L46&lt;3600,IF(Data!L46&lt;120,TEXT(Data!L46,"0.00")&amp;"s",TEXT(Data!L46,"0")&amp;"s"),TEXT(Data!P46*100,"0")&amp;"%")</f>
        <v>38%</v>
      </c>
      <c r="G8" s="31" t="str">
        <f>IF(Data!L59&lt;3600,IF(Data!L59&lt;120,TEXT(Data!L59,"0.00")&amp;"s",TEXT(Data!L59,"0")&amp;"s"),TEXT(Data!P59*100,"0")&amp;"%")</f>
        <v>42%</v>
      </c>
      <c r="H8" s="32" t="str">
        <f>IF(Data!L72&lt;3600,IF(Data!L72&lt;120,TEXT(Data!L72,"0.00")&amp;"s",TEXT(Data!L72,"0")&amp;"s"),TEXT(Data!P72*100,"0")&amp;"%")</f>
        <v>49%</v>
      </c>
    </row>
    <row r="9" ht="14.25">
      <c r="C9" s="30" t="str">
        <f>IF(Data!L8&lt;3600,IF(Data!L8&lt;120,TEXT(Data!L8,"0.00")&amp;"s",TEXT(Data!L8,"0")&amp;"s"),TEXT(Data!P8*100,"0")&amp;"%")</f>
        <v>49%</v>
      </c>
      <c r="D9" s="30" t="str">
        <f>IF(Data!L21&lt;3600,IF(Data!L21&lt;120,TEXT(Data!L21,"0.00")&amp;"s",TEXT(Data!L21,"0")&amp;"s"),TEXT(Data!P21*100,"0")&amp;"%")</f>
        <v>49%</v>
      </c>
      <c r="E9" s="31" t="str">
        <f>IF(Data!L34&lt;3600,IF(Data!L34&lt;120,TEXT(Data!L34,"0.00")&amp;"s",TEXT(Data!L34,"0")&amp;"s"),TEXT(Data!P34*100,"0")&amp;"%")</f>
        <v>52%</v>
      </c>
      <c r="F9" s="31" t="str">
        <f>IF(Data!L47&lt;3600,IF(Data!L47&lt;120,TEXT(Data!L47,"0.00")&amp;"s",TEXT(Data!L47,"0")&amp;"s"),TEXT(Data!P47*100,"0")&amp;"%")</f>
        <v>51%</v>
      </c>
      <c r="G9" s="32" t="str">
        <f>IF(Data!L60&lt;3600,IF(Data!L60&lt;120,TEXT(Data!L60,"0.00")&amp;"s",TEXT(Data!L60,"0")&amp;"s"),TEXT(Data!P60*100,"0")&amp;"%")</f>
        <v>53%</v>
      </c>
      <c r="H9" s="32" t="str">
        <f>IF(Data!L73&lt;3600,IF(Data!L73&lt;120,TEXT(Data!L73,"0.00")&amp;"s",TEXT(Data!L73,"0")&amp;"s"),TEXT(Data!P73*100,"0")&amp;"%")</f>
        <v>53%</v>
      </c>
    </row>
    <row r="10" ht="14.25">
      <c r="C10" s="31" t="str">
        <f>IF(Data!L9&lt;3600,IF(Data!L9&lt;120,TEXT(Data!L9,"0.00")&amp;"s",TEXT(Data!L9,"0")&amp;"s"),TEXT(Data!P9*100,"0")&amp;"%")</f>
        <v>51%</v>
      </c>
      <c r="D10" s="31" t="str">
        <f>IF(Data!L22&lt;3600,IF(Data!L22&lt;120,TEXT(Data!L22,"0.00")&amp;"s",TEXT(Data!L22,"0")&amp;"s"),TEXT(Data!P22*100,"0")&amp;"%")</f>
        <v>51%</v>
      </c>
      <c r="E10" s="31" t="str">
        <f>IF(Data!L35&lt;3600,IF(Data!L35&lt;120,TEXT(Data!L35,"0.00")&amp;"s",TEXT(Data!L35,"0")&amp;"s"),TEXT(Data!P35*100,"0")&amp;"%")</f>
        <v>52%</v>
      </c>
      <c r="F10" s="31" t="str">
        <f>IF(Data!L48&lt;3600,IF(Data!L48&lt;120,TEXT(Data!L48,"0.00")&amp;"s",TEXT(Data!L48,"0")&amp;"s"),TEXT(Data!P48*100,"0")&amp;"%")</f>
        <v>51%</v>
      </c>
      <c r="G10" s="31" t="str">
        <f>IF(Data!L61&lt;3600,IF(Data!L61&lt;120,TEXT(Data!L61,"0.00")&amp;"s",TEXT(Data!L61,"0")&amp;"s"),TEXT(Data!P61*100,"0")&amp;"%")</f>
        <v>50%</v>
      </c>
      <c r="H10" s="31" t="str">
        <f>IF(Data!L74&lt;3600,IF(Data!L74&lt;120,TEXT(Data!L74,"0.00")&amp;"s",TEXT(Data!L74,"0")&amp;"s"),TEXT(Data!P74*100,"0")&amp;"%")</f>
        <v>51%</v>
      </c>
    </row>
    <row r="11" ht="14.25">
      <c r="C11" s="31" t="str">
        <f>IF(Data!L10&lt;3600,IF(Data!L10&lt;120,TEXT(Data!L10,"0.00")&amp;"s",TEXT(Data!L10,"0")&amp;"s"),TEXT(Data!P10*100,"0")&amp;"%")</f>
        <v>50%</v>
      </c>
      <c r="D11" s="31" t="str">
        <f>IF(Data!L23&lt;3600,IF(Data!L23&lt;120,TEXT(Data!L23,"0.00")&amp;"s",TEXT(Data!L23,"0")&amp;"s"),TEXT(Data!P23*100,"0")&amp;"%")</f>
        <v>50%</v>
      </c>
      <c r="E11" s="32" t="str">
        <f>IF(Data!L36&lt;3600,IF(Data!L36&lt;120,TEXT(Data!L36,"0.00")&amp;"s",TEXT(Data!L36,"0")&amp;"s"),TEXT(Data!P36*100,"0")&amp;"%")</f>
        <v>53%</v>
      </c>
      <c r="F11" s="31" t="str">
        <f>IF(Data!L49&lt;3600,IF(Data!L49&lt;120,TEXT(Data!L49,"0.00")&amp;"s",TEXT(Data!L49,"0")&amp;"s"),TEXT(Data!P49*100,"0")&amp;"%")</f>
        <v>50%</v>
      </c>
      <c r="G11" s="31" t="str">
        <f>IF(Data!L62&lt;3600,IF(Data!L62&lt;120,TEXT(Data!L62,"0.00")&amp;"s",TEXT(Data!L62,"0")&amp;"s"),TEXT(Data!P62*100,"0")&amp;"%")</f>
        <v>52%</v>
      </c>
      <c r="H11" s="31" t="str">
        <f>IF(Data!L75&lt;3600,IF(Data!L75&lt;120,TEXT(Data!L75,"0.00")&amp;"s",TEXT(Data!L75,"0")&amp;"s"),TEXT(Data!P75*100,"0")&amp;"%")</f>
        <v>52%</v>
      </c>
    </row>
    <row r="12" ht="14.25">
      <c r="C12" s="31" t="str">
        <f>IF(Data!L11&lt;3600,IF(Data!L11&lt;120,TEXT(Data!L11,"0.00")&amp;"s",TEXT(Data!L11,"0")&amp;"s"),TEXT(Data!P11*100,"0")&amp;"%")</f>
        <v>49%</v>
      </c>
      <c r="D12" s="30" t="str">
        <f>IF(Data!L24&lt;3600,IF(Data!L24&lt;120,TEXT(Data!L24,"0.00")&amp;"s",TEXT(Data!L24,"0")&amp;"s"),TEXT(Data!P24*100,"0")&amp;"%")</f>
        <v>48%</v>
      </c>
      <c r="E12" s="31" t="str">
        <f>IF(Data!L37&lt;3600,IF(Data!L37&lt;120,TEXT(Data!L37,"0.00")&amp;"s",TEXT(Data!L37,"0")&amp;"s"),TEXT(Data!P37*100,"0")&amp;"%")</f>
        <v>51%</v>
      </c>
      <c r="F12" s="31" t="str">
        <f>IF(Data!L50&lt;3600,IF(Data!L50&lt;120,TEXT(Data!L50,"0.00")&amp;"s",TEXT(Data!L50,"0")&amp;"s"),TEXT(Data!P50*100,"0")&amp;"%")</f>
        <v>49%</v>
      </c>
      <c r="G12" s="30" t="str">
        <f>IF(Data!L63&lt;3600,IF(Data!L63&lt;120,TEXT(Data!L63,"0.00")&amp;"s",TEXT(Data!L63,"0")&amp;"s"),TEXT(Data!P63*100,"0")&amp;"%")</f>
        <v>48%</v>
      </c>
      <c r="H12" s="30" t="str">
        <f>IF(Data!L76&lt;3600,IF(Data!L76&lt;120,TEXT(Data!L76,"0.00")&amp;"s",TEXT(Data!L76,"0")&amp;"s"),TEXT(Data!P76*100,"0")&amp;"%")</f>
        <v>48%</v>
      </c>
    </row>
    <row r="13" ht="14.25">
      <c r="C13" s="31" t="str">
        <f>IF(Data!L12&lt;3600,IF(Data!L12&lt;120,TEXT(Data!L12,"0.00")&amp;"s",TEXT(Data!L12,"0")&amp;"s"),TEXT(Data!P12*100,"0")&amp;"%")</f>
        <v>76%</v>
      </c>
      <c r="D13" s="31" t="str">
        <f>IF(Data!L25&lt;3600,IF(Data!L25&lt;120,TEXT(Data!L25,"0.00")&amp;"s",TEXT(Data!L25,"0")&amp;"s"),TEXT(Data!P25*100,"0")&amp;"%")</f>
        <v>72%</v>
      </c>
      <c r="E13" s="32" t="str">
        <f>IF(Data!L38&lt;3600,IF(Data!L38&lt;120,TEXT(Data!L38,"0.00")&amp;"s",TEXT(Data!L38,"0")&amp;"s"),TEXT(Data!P38*100,"0")&amp;"%")</f>
        <v>82%</v>
      </c>
      <c r="F13" s="31" t="str">
        <f>IF(Data!L51&lt;3600,IF(Data!L51&lt;120,TEXT(Data!L51,"0.00")&amp;"s",TEXT(Data!L51,"0")&amp;"s"),TEXT(Data!P51*100,"0")&amp;"%")</f>
        <v>79%</v>
      </c>
      <c r="G13" s="30" t="str">
        <f>IF(Data!L64&lt;3600,IF(Data!L64&lt;120,TEXT(Data!L64,"0.00")&amp;"s",TEXT(Data!L64,"0")&amp;"s"),TEXT(Data!P64*100,"0")&amp;"%")</f>
        <v>70%</v>
      </c>
      <c r="H13" s="31" t="str">
        <f>IF(Data!L77&lt;3600,IF(Data!L77&lt;120,TEXT(Data!L77,"0.00")&amp;"s",TEXT(Data!L77,"0")&amp;"s"),TEXT(Data!P77*100,"0")&amp;"%")</f>
        <v>76%</v>
      </c>
    </row>
    <row r="14" ht="14.25">
      <c r="C14" s="31" t="str">
        <f>IF(Data!L13&lt;3600,IF(Data!L13&lt;120,TEXT(Data!L13,"0.00")&amp;"s",TEXT(Data!L13,"0")&amp;"s"),TEXT(Data!P13*100,"0")&amp;"%")</f>
        <v>75%</v>
      </c>
      <c r="D14" s="31" t="str">
        <f>IF(Data!L26&lt;3600,IF(Data!L26&lt;120,TEXT(Data!L26,"0.00")&amp;"s",TEXT(Data!L26,"0")&amp;"s"),TEXT(Data!P26*100,"0")&amp;"%")</f>
        <v>72%</v>
      </c>
      <c r="E14" s="31" t="str">
        <f>IF(Data!L39&lt;3600,IF(Data!L39&lt;120,TEXT(Data!L39,"0.00")&amp;"s",TEXT(Data!L39,"0")&amp;"s"),TEXT(Data!P39*100,"0")&amp;"%")</f>
        <v>74%</v>
      </c>
      <c r="F14" s="31" t="str">
        <f>IF(Data!L52&lt;3600,IF(Data!L52&lt;120,TEXT(Data!L52,"0.00")&amp;"s",TEXT(Data!L52,"0")&amp;"s"),TEXT(Data!P52*100,"0")&amp;"%")</f>
        <v>75%</v>
      </c>
      <c r="G14" s="31" t="str">
        <f>IF(Data!L65&lt;3600,IF(Data!L65&lt;120,TEXT(Data!L65,"0.00")&amp;"s",TEXT(Data!L65,"0")&amp;"s"),TEXT(Data!P65*100,"0")&amp;"%")</f>
        <v>77%</v>
      </c>
      <c r="H14" s="31" t="str">
        <f>IF(Data!L78&lt;3600,IF(Data!L78&lt;120,TEXT(Data!L78,"0.00")&amp;"s",TEXT(Data!L78,"0")&amp;"s"),TEXT(Data!P78*100,"0")&amp;"%")</f>
        <v>77%</v>
      </c>
    </row>
    <row r="15" ht="14.25">
      <c r="D15" s="26"/>
      <c r="E15" s="26"/>
      <c r="F15" s="26"/>
      <c r="G15" s="26"/>
    </row>
    <row r="16" ht="14.25">
      <c r="C16" s="33" t="s">
        <v>10</v>
      </c>
    </row>
    <row r="17" ht="14.25">
      <c r="C17" s="34">
        <v>39</v>
      </c>
      <c r="D17" s="34">
        <v>39</v>
      </c>
      <c r="E17" s="34">
        <v>39</v>
      </c>
      <c r="F17" s="34">
        <v>39</v>
      </c>
      <c r="G17" s="34">
        <v>39</v>
      </c>
      <c r="H17" s="34">
        <v>39</v>
      </c>
    </row>
    <row r="18" ht="14.25">
      <c r="C18" s="34">
        <v>39</v>
      </c>
      <c r="D18" s="34">
        <v>39</v>
      </c>
      <c r="E18" s="34">
        <v>39</v>
      </c>
      <c r="F18" s="34">
        <v>39</v>
      </c>
      <c r="G18" s="34">
        <v>39</v>
      </c>
      <c r="H18" s="34">
        <v>39</v>
      </c>
    </row>
    <row r="19" ht="14.25">
      <c r="C19" s="34">
        <v>45</v>
      </c>
      <c r="D19" s="34">
        <v>45</v>
      </c>
      <c r="E19" s="34">
        <v>45</v>
      </c>
      <c r="F19" s="34">
        <v>45</v>
      </c>
      <c r="G19" s="34">
        <v>45</v>
      </c>
      <c r="H19" s="34">
        <v>45</v>
      </c>
    </row>
    <row r="20" ht="14.25">
      <c r="C20" s="34">
        <v>45</v>
      </c>
      <c r="D20" s="34">
        <v>45</v>
      </c>
      <c r="E20" s="34">
        <v>45</v>
      </c>
      <c r="F20" s="34">
        <v>45</v>
      </c>
      <c r="G20" s="34">
        <v>45</v>
      </c>
      <c r="H20" s="34">
        <v>45</v>
      </c>
    </row>
    <row r="21" ht="14.25">
      <c r="C21" s="34">
        <v>79</v>
      </c>
      <c r="D21" s="34">
        <v>77</v>
      </c>
      <c r="E21" s="34">
        <v>78</v>
      </c>
      <c r="F21" s="34">
        <v>77</v>
      </c>
      <c r="G21" s="34">
        <v>79</v>
      </c>
      <c r="H21" s="34">
        <v>81</v>
      </c>
    </row>
    <row r="22" ht="14.25">
      <c r="C22" s="34">
        <v>78</v>
      </c>
      <c r="D22" s="34">
        <v>77</v>
      </c>
      <c r="E22" s="34">
        <v>80</v>
      </c>
      <c r="F22" s="34">
        <v>78</v>
      </c>
      <c r="G22" s="34">
        <v>79</v>
      </c>
      <c r="H22" s="34">
        <v>80</v>
      </c>
    </row>
    <row r="23" ht="14.25">
      <c r="C23" s="34">
        <v>71</v>
      </c>
      <c r="D23" s="34">
        <v>71</v>
      </c>
      <c r="E23" s="34">
        <v>71</v>
      </c>
      <c r="F23" s="34">
        <v>70</v>
      </c>
      <c r="G23" s="34">
        <v>72</v>
      </c>
      <c r="H23" s="34">
        <v>72</v>
      </c>
    </row>
    <row r="24" ht="14.25">
      <c r="C24" s="34">
        <v>70</v>
      </c>
      <c r="D24" s="34">
        <v>70</v>
      </c>
      <c r="E24" s="34">
        <v>71</v>
      </c>
      <c r="F24" s="34">
        <v>70</v>
      </c>
      <c r="G24" s="34">
        <v>68</v>
      </c>
      <c r="H24" s="34">
        <v>69</v>
      </c>
    </row>
    <row r="25" ht="14.25">
      <c r="C25" s="34">
        <v>96</v>
      </c>
      <c r="D25" s="34">
        <v>96</v>
      </c>
      <c r="E25" s="34">
        <v>102</v>
      </c>
      <c r="F25" s="34">
        <v>96</v>
      </c>
      <c r="G25" s="34">
        <v>99</v>
      </c>
      <c r="H25" s="34">
        <v>99</v>
      </c>
    </row>
    <row r="26" ht="14.25">
      <c r="C26" s="34">
        <v>94</v>
      </c>
      <c r="D26" s="34">
        <v>93</v>
      </c>
      <c r="E26" s="34">
        <v>97</v>
      </c>
      <c r="F26" s="34">
        <v>95</v>
      </c>
      <c r="G26" s="34">
        <v>92</v>
      </c>
      <c r="H26" s="34">
        <v>93</v>
      </c>
    </row>
    <row r="27" ht="14.25">
      <c r="C27" s="34">
        <v>164</v>
      </c>
      <c r="D27" s="34">
        <v>168</v>
      </c>
      <c r="E27" s="34">
        <v>190</v>
      </c>
      <c r="F27" s="34">
        <v>163</v>
      </c>
      <c r="G27" s="34">
        <v>171</v>
      </c>
      <c r="H27" s="34">
        <v>173</v>
      </c>
    </row>
    <row r="28" ht="14.25">
      <c r="C28" s="34">
        <v>153</v>
      </c>
      <c r="D28" s="34">
        <v>151</v>
      </c>
      <c r="E28" s="34">
        <v>155</v>
      </c>
      <c r="F28" s="34">
        <v>160</v>
      </c>
      <c r="G28" s="34">
        <v>156</v>
      </c>
      <c r="H28" s="34">
        <v>152</v>
      </c>
    </row>
    <row r="29" ht="14.25">
      <c r="C29" s="33"/>
      <c r="D29" s="33"/>
      <c r="E29" s="33"/>
      <c r="F29" s="33"/>
      <c r="G29" s="33"/>
    </row>
    <row r="30" ht="14.25">
      <c r="C30" s="26" t="s">
        <v>11</v>
      </c>
    </row>
    <row r="31" ht="14.25">
      <c r="C31" s="31">
        <v>39</v>
      </c>
      <c r="D31" s="31">
        <v>39</v>
      </c>
      <c r="E31" s="31">
        <v>39</v>
      </c>
      <c r="F31" s="31">
        <v>39</v>
      </c>
      <c r="G31" s="31">
        <v>39</v>
      </c>
      <c r="H31" s="31">
        <v>39</v>
      </c>
    </row>
    <row r="32" ht="14.25">
      <c r="C32" s="31">
        <v>39</v>
      </c>
      <c r="D32" s="31">
        <v>39</v>
      </c>
      <c r="E32" s="31">
        <v>39</v>
      </c>
      <c r="F32" s="31">
        <v>39</v>
      </c>
      <c r="G32" s="31">
        <v>39</v>
      </c>
      <c r="H32" s="31">
        <v>39</v>
      </c>
    </row>
    <row r="33" ht="14.25">
      <c r="C33" s="31">
        <v>45</v>
      </c>
      <c r="D33" s="31">
        <v>45</v>
      </c>
      <c r="E33" s="31">
        <v>45</v>
      </c>
      <c r="F33" s="31">
        <v>45</v>
      </c>
      <c r="G33" s="31">
        <v>45</v>
      </c>
      <c r="H33" s="31">
        <v>45</v>
      </c>
    </row>
    <row r="34" ht="14.25">
      <c r="C34" s="31">
        <v>45</v>
      </c>
      <c r="D34" s="31">
        <v>45</v>
      </c>
      <c r="E34" s="31">
        <v>45</v>
      </c>
      <c r="F34" s="31">
        <v>45</v>
      </c>
      <c r="G34" s="31">
        <v>45</v>
      </c>
      <c r="H34" s="31">
        <v>45</v>
      </c>
    </row>
    <row r="35" ht="14.25">
      <c r="C35" s="31">
        <v>48</v>
      </c>
      <c r="D35" s="31">
        <v>50</v>
      </c>
      <c r="E35" s="31">
        <v>49</v>
      </c>
      <c r="F35" s="31">
        <v>48</v>
      </c>
      <c r="G35" s="31">
        <v>50</v>
      </c>
      <c r="H35" s="31">
        <v>45</v>
      </c>
    </row>
    <row r="36" ht="14.25">
      <c r="C36" s="31">
        <v>46</v>
      </c>
      <c r="D36" s="31">
        <v>46</v>
      </c>
      <c r="E36" s="31">
        <v>46</v>
      </c>
      <c r="F36" s="31">
        <v>48</v>
      </c>
      <c r="G36" s="31">
        <v>46</v>
      </c>
      <c r="H36" s="31">
        <v>41</v>
      </c>
    </row>
    <row r="37" ht="14.25">
      <c r="C37" s="31">
        <v>36</v>
      </c>
      <c r="D37" s="31">
        <v>36</v>
      </c>
      <c r="E37" s="31">
        <v>34</v>
      </c>
      <c r="F37" s="31">
        <v>34</v>
      </c>
      <c r="G37" s="31">
        <v>34</v>
      </c>
      <c r="H37" s="31">
        <v>34</v>
      </c>
    </row>
    <row r="38" ht="14.25">
      <c r="C38" s="31">
        <v>34</v>
      </c>
      <c r="D38" s="31">
        <v>34</v>
      </c>
      <c r="E38" s="31">
        <v>34</v>
      </c>
      <c r="F38" s="31">
        <v>34</v>
      </c>
      <c r="G38" s="31">
        <v>34</v>
      </c>
      <c r="H38" s="31">
        <v>34</v>
      </c>
    </row>
    <row r="39" ht="14.25">
      <c r="C39" s="35">
        <v>48</v>
      </c>
      <c r="D39" s="35">
        <v>48</v>
      </c>
      <c r="E39" s="35">
        <v>48</v>
      </c>
      <c r="F39" s="35">
        <v>48</v>
      </c>
      <c r="G39" s="35">
        <v>48</v>
      </c>
      <c r="H39" s="35">
        <v>48</v>
      </c>
    </row>
    <row r="40" ht="14.25">
      <c r="C40" s="35">
        <v>48</v>
      </c>
      <c r="D40" s="35">
        <v>48</v>
      </c>
      <c r="E40" s="35">
        <v>48</v>
      </c>
      <c r="F40" s="35">
        <v>48</v>
      </c>
      <c r="G40" s="35">
        <v>48</v>
      </c>
      <c r="H40" s="35">
        <v>48</v>
      </c>
    </row>
    <row r="41" ht="14.25">
      <c r="C41" s="31">
        <v>39</v>
      </c>
      <c r="D41" s="31">
        <v>47</v>
      </c>
      <c r="E41" s="31">
        <v>35</v>
      </c>
      <c r="F41" s="31">
        <v>35</v>
      </c>
      <c r="G41" s="31">
        <v>51</v>
      </c>
      <c r="H41" s="31">
        <v>42</v>
      </c>
    </row>
    <row r="42" ht="14.25">
      <c r="C42" s="36">
        <v>37.485207000000003</v>
      </c>
      <c r="D42" s="36">
        <v>41.708768999999997</v>
      </c>
      <c r="E42" s="36">
        <v>40.028584000000002</v>
      </c>
      <c r="F42" s="31">
        <v>40</v>
      </c>
      <c r="G42" s="36">
        <v>36.125442</v>
      </c>
      <c r="H42" s="36">
        <v>35.430981000000003</v>
      </c>
    </row>
    <row r="43" ht="14.25">
      <c r="C43" s="26"/>
    </row>
    <row r="44" ht="14.25">
      <c r="C44" s="26" t="s">
        <v>13</v>
      </c>
    </row>
    <row r="45" ht="14.25">
      <c r="C45" s="31">
        <v>10</v>
      </c>
      <c r="D45" s="31">
        <v>10</v>
      </c>
      <c r="E45" s="31">
        <v>7</v>
      </c>
      <c r="F45" s="31">
        <v>8</v>
      </c>
      <c r="G45" s="31">
        <v>8</v>
      </c>
      <c r="H45" s="31">
        <v>8</v>
      </c>
    </row>
    <row r="46" ht="14.25">
      <c r="C46" s="31">
        <v>7</v>
      </c>
      <c r="D46" s="30">
        <v>5</v>
      </c>
      <c r="E46" s="31">
        <v>8</v>
      </c>
      <c r="F46" s="31">
        <v>10</v>
      </c>
      <c r="G46" s="30">
        <v>5</v>
      </c>
      <c r="H46" s="31">
        <v>8</v>
      </c>
    </row>
    <row r="47" ht="14.25">
      <c r="C47" s="31">
        <v>10</v>
      </c>
      <c r="D47" s="31">
        <v>10</v>
      </c>
      <c r="E47" s="31">
        <v>10</v>
      </c>
      <c r="F47" s="31">
        <v>10</v>
      </c>
      <c r="G47" s="31">
        <v>9</v>
      </c>
      <c r="H47" s="31">
        <v>10</v>
      </c>
    </row>
    <row r="48" ht="14.25">
      <c r="C48" s="31">
        <v>10</v>
      </c>
      <c r="D48" s="31">
        <v>10</v>
      </c>
      <c r="E48" s="31">
        <v>10</v>
      </c>
      <c r="F48" s="31">
        <v>10</v>
      </c>
      <c r="G48" s="31">
        <v>10</v>
      </c>
      <c r="H48" s="31">
        <v>10</v>
      </c>
    </row>
    <row r="49" ht="14.25">
      <c r="C49" s="31">
        <v>10</v>
      </c>
      <c r="D49" s="31">
        <v>10</v>
      </c>
      <c r="E49" s="31">
        <v>10</v>
      </c>
      <c r="F49" s="31">
        <v>10</v>
      </c>
      <c r="G49" s="31">
        <v>10</v>
      </c>
      <c r="H49" s="31">
        <v>10</v>
      </c>
    </row>
    <row r="50" ht="14.25">
      <c r="C50" s="31">
        <v>10</v>
      </c>
      <c r="D50" s="31">
        <v>10</v>
      </c>
      <c r="E50" s="31">
        <v>10</v>
      </c>
      <c r="F50" s="31">
        <v>10</v>
      </c>
      <c r="G50" s="31">
        <v>10</v>
      </c>
      <c r="H50" s="31">
        <v>10</v>
      </c>
    </row>
    <row r="51" ht="14.25">
      <c r="C51" s="31">
        <v>10</v>
      </c>
      <c r="D51" s="31">
        <v>10</v>
      </c>
      <c r="E51" s="31">
        <v>10</v>
      </c>
      <c r="F51" s="31">
        <v>10</v>
      </c>
      <c r="G51" s="31">
        <v>10</v>
      </c>
      <c r="H51" s="31">
        <v>10</v>
      </c>
    </row>
    <row r="52" ht="14.25">
      <c r="C52" s="31">
        <v>10</v>
      </c>
      <c r="D52" s="31">
        <v>10</v>
      </c>
      <c r="E52" s="31">
        <v>10</v>
      </c>
      <c r="F52" s="31">
        <v>10</v>
      </c>
      <c r="G52" s="31">
        <v>10</v>
      </c>
      <c r="H52" s="31">
        <v>10</v>
      </c>
    </row>
    <row r="53" ht="14.25">
      <c r="C53" s="31">
        <v>10</v>
      </c>
      <c r="D53" s="31">
        <v>10</v>
      </c>
      <c r="E53" s="31">
        <v>10</v>
      </c>
      <c r="F53" s="31">
        <v>10</v>
      </c>
      <c r="G53" s="31">
        <v>10</v>
      </c>
      <c r="H53" s="31">
        <v>10</v>
      </c>
    </row>
    <row r="54" ht="14.25">
      <c r="C54" s="31">
        <v>10</v>
      </c>
      <c r="D54" s="31">
        <v>10</v>
      </c>
      <c r="E54" s="31">
        <v>10</v>
      </c>
      <c r="F54" s="31">
        <v>10</v>
      </c>
      <c r="G54" s="31">
        <v>10</v>
      </c>
      <c r="H54" s="31">
        <v>10</v>
      </c>
    </row>
    <row r="55" ht="14.25">
      <c r="C55" s="31">
        <v>10</v>
      </c>
      <c r="D55" s="31">
        <v>10</v>
      </c>
      <c r="E55" s="30">
        <v>3</v>
      </c>
      <c r="F55" s="31">
        <v>10</v>
      </c>
      <c r="G55" s="31">
        <v>10</v>
      </c>
      <c r="H55" s="31">
        <v>10</v>
      </c>
    </row>
    <row r="56" ht="14.25">
      <c r="C56" s="31">
        <v>10</v>
      </c>
      <c r="D56" s="31">
        <v>10</v>
      </c>
      <c r="E56" s="31">
        <v>10</v>
      </c>
      <c r="F56" s="31">
        <v>10</v>
      </c>
      <c r="G56" s="31">
        <v>10</v>
      </c>
      <c r="H56" s="31">
        <v>10</v>
      </c>
    </row>
    <row r="57" ht="14.25">
      <c r="C57" s="26"/>
    </row>
    <row r="58" ht="14.25">
      <c r="C58" s="26" t="s">
        <v>14</v>
      </c>
    </row>
    <row r="59" ht="14.25">
      <c r="C59" s="37">
        <v>11360</v>
      </c>
      <c r="D59" s="37">
        <v>31724</v>
      </c>
      <c r="E59" s="37">
        <v>24961</v>
      </c>
      <c r="F59" s="37">
        <v>6516</v>
      </c>
      <c r="G59" s="37">
        <v>12685</v>
      </c>
      <c r="H59" s="37">
        <v>8685</v>
      </c>
    </row>
    <row r="60" ht="14.25">
      <c r="C60" s="37">
        <v>5032</v>
      </c>
      <c r="D60" s="37">
        <v>3606</v>
      </c>
      <c r="E60" s="37">
        <v>5143</v>
      </c>
      <c r="F60" s="37">
        <v>8243</v>
      </c>
      <c r="G60" s="37">
        <v>17596</v>
      </c>
      <c r="H60" s="37">
        <v>25606</v>
      </c>
    </row>
    <row r="61" ht="14.25">
      <c r="C61" s="37">
        <v>7150556</v>
      </c>
      <c r="D61" s="37">
        <v>764170</v>
      </c>
      <c r="E61" s="37">
        <v>65868</v>
      </c>
      <c r="F61" s="37">
        <v>200756</v>
      </c>
      <c r="G61" s="37">
        <v>715117</v>
      </c>
      <c r="H61" s="37">
        <v>8396456</v>
      </c>
    </row>
    <row r="62" ht="14.25">
      <c r="C62" s="37">
        <v>67594</v>
      </c>
      <c r="D62" s="37">
        <v>56670</v>
      </c>
      <c r="E62" s="37">
        <v>22482</v>
      </c>
      <c r="F62" s="37">
        <v>33956</v>
      </c>
      <c r="G62" s="37">
        <v>184050</v>
      </c>
      <c r="H62" s="37">
        <v>575016</v>
      </c>
    </row>
    <row r="63" ht="14.25">
      <c r="C63" s="37">
        <v>32083773</v>
      </c>
      <c r="D63" s="37">
        <v>14442358</v>
      </c>
      <c r="E63" s="37">
        <v>5554324</v>
      </c>
      <c r="F63" s="37">
        <v>2705958</v>
      </c>
      <c r="G63" s="37">
        <v>10299714</v>
      </c>
      <c r="H63" s="37">
        <v>7138090</v>
      </c>
    </row>
    <row r="64" ht="14.25">
      <c r="C64" s="37">
        <v>808481</v>
      </c>
      <c r="D64" s="37">
        <v>591190</v>
      </c>
      <c r="E64" s="37">
        <v>447597</v>
      </c>
      <c r="F64" s="37">
        <v>164372</v>
      </c>
      <c r="G64" s="37">
        <v>628767</v>
      </c>
      <c r="H64" s="37">
        <v>920245</v>
      </c>
    </row>
    <row r="65" ht="14.25">
      <c r="C65" s="37">
        <v>35882668</v>
      </c>
      <c r="D65" s="37">
        <v>14465173</v>
      </c>
      <c r="E65" s="37">
        <v>5601386</v>
      </c>
      <c r="F65" s="37">
        <v>2415871</v>
      </c>
      <c r="G65" s="37">
        <v>9168123</v>
      </c>
      <c r="H65" s="37">
        <v>6254614</v>
      </c>
    </row>
    <row r="66" ht="14.25">
      <c r="C66" s="37">
        <v>711561</v>
      </c>
      <c r="D66" s="37">
        <v>464098</v>
      </c>
      <c r="E66" s="37">
        <v>291570</v>
      </c>
      <c r="F66" s="37">
        <v>195842</v>
      </c>
      <c r="G66" s="37">
        <v>383142</v>
      </c>
      <c r="H66" s="37">
        <v>528142</v>
      </c>
    </row>
    <row r="67" ht="14.25">
      <c r="C67" s="37">
        <v>22185595</v>
      </c>
      <c r="D67" s="37">
        <v>8534328</v>
      </c>
      <c r="E67" s="37">
        <v>2800285</v>
      </c>
      <c r="F67" s="37">
        <v>1426926</v>
      </c>
      <c r="G67" s="37">
        <v>7015153</v>
      </c>
      <c r="H67" s="37">
        <v>4105699</v>
      </c>
    </row>
    <row r="68" ht="14.25">
      <c r="C68" s="37">
        <v>367208</v>
      </c>
      <c r="D68" s="37">
        <v>303841</v>
      </c>
      <c r="E68" s="37">
        <v>172821</v>
      </c>
      <c r="F68" s="37">
        <v>122731</v>
      </c>
      <c r="G68" s="37">
        <v>336737</v>
      </c>
      <c r="H68" s="37">
        <v>232142</v>
      </c>
    </row>
    <row r="69" ht="14.25">
      <c r="C69" s="37">
        <v>12065498</v>
      </c>
      <c r="D69" s="37">
        <v>4969454</v>
      </c>
      <c r="E69" s="37">
        <v>744482</v>
      </c>
      <c r="F69" s="37">
        <v>263549</v>
      </c>
      <c r="G69" s="37">
        <v>2425960</v>
      </c>
      <c r="H69" s="37">
        <v>1829748</v>
      </c>
    </row>
    <row r="70" ht="14.25">
      <c r="C70" s="37">
        <v>72057</v>
      </c>
      <c r="D70" s="37">
        <v>114165</v>
      </c>
      <c r="E70" s="37">
        <v>57084</v>
      </c>
      <c r="F70" s="37">
        <v>15514</v>
      </c>
      <c r="G70" s="37">
        <v>126057</v>
      </c>
      <c r="H70" s="37">
        <v>53486</v>
      </c>
    </row>
    <row r="71" ht="14.25">
      <c r="C71" s="26"/>
    </row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>
      <c r="C84" s="26"/>
    </row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>
      <c r="C97" s="26"/>
    </row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>
      <c r="C110" s="26"/>
    </row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>
      <c r="C123" s="26"/>
    </row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top10" priority="4" rank="1" id="{00B10057-00FC-4468-B857-0051003C0070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C21:H22</xm:sqref>
        </x14:conditionalFormatting>
        <x14:conditionalFormatting xmlns:xm="http://schemas.microsoft.com/office/excel/2006/main">
          <x14:cfRule type="top10" priority="3" bottom="1" rank="1" id="{005400AF-00A1-40FE-BFB5-00D600910053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C21:H22</xm:sqref>
        </x14:conditionalFormatting>
        <x14:conditionalFormatting xmlns:xm="http://schemas.microsoft.com/office/excel/2006/main">
          <x14:cfRule type="top10" priority="4" rank="1" id="{0038008C-003B-48FF-9A5E-002000B100EE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C23:H24</xm:sqref>
        </x14:conditionalFormatting>
        <x14:conditionalFormatting xmlns:xm="http://schemas.microsoft.com/office/excel/2006/main">
          <x14:cfRule type="top10" priority="3" bottom="1" rank="1" id="{00E800ED-00A0-434D-8AD6-007F0001004B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C23:H24</xm:sqref>
        </x14:conditionalFormatting>
        <x14:conditionalFormatting xmlns:xm="http://schemas.microsoft.com/office/excel/2006/main">
          <x14:cfRule type="top10" priority="4" rank="1" id="{00D4007F-006B-46E0-9E50-00BA00680047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C25:H26</xm:sqref>
        </x14:conditionalFormatting>
        <x14:conditionalFormatting xmlns:xm="http://schemas.microsoft.com/office/excel/2006/main">
          <x14:cfRule type="top10" priority="3" bottom="1" rank="1" id="{00D00029-007B-4B43-971A-008C00D40012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C25:H26</xm:sqref>
        </x14:conditionalFormatting>
        <x14:conditionalFormatting xmlns:xm="http://schemas.microsoft.com/office/excel/2006/main">
          <x14:cfRule type="top10" priority="4" rank="1" id="{00940082-0071-4915-A72C-002200B600B2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C27:H28</xm:sqref>
        </x14:conditionalFormatting>
        <x14:conditionalFormatting xmlns:xm="http://schemas.microsoft.com/office/excel/2006/main">
          <x14:cfRule type="top10" priority="3" bottom="1" rank="1" id="{003A0055-0035-4A89-BA9E-009E00810081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C27:H28</xm:sqref>
        </x14:conditionalFormatting>
        <x14:conditionalFormatting xmlns:xm="http://schemas.microsoft.com/office/excel/2006/main">
          <x14:cfRule type="top10" priority="2" rank="1" id="{00C30024-0071-4BE7-922E-0097002E00AA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C35:H36</xm:sqref>
        </x14:conditionalFormatting>
        <x14:conditionalFormatting xmlns:xm="http://schemas.microsoft.com/office/excel/2006/main">
          <x14:cfRule type="top10" priority="1" bottom="1" rank="1" id="{009200A2-0015-4C08-ADBF-009600BB00B0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C35:H36</xm:sqref>
        </x14:conditionalFormatting>
        <x14:conditionalFormatting xmlns:xm="http://schemas.microsoft.com/office/excel/2006/main">
          <x14:cfRule type="top10" priority="2" rank="1" id="{00EF0037-00D1-4CDD-86D5-009B00A700E7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C37:H38</xm:sqref>
        </x14:conditionalFormatting>
        <x14:conditionalFormatting xmlns:xm="http://schemas.microsoft.com/office/excel/2006/main">
          <x14:cfRule type="top10" priority="2" rank="1" id="{00860080-009E-43E9-9B19-0096007800F9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C41:H42</xm:sqref>
        </x14:conditionalFormatting>
        <x14:conditionalFormatting xmlns:xm="http://schemas.microsoft.com/office/excel/2006/main">
          <x14:cfRule type="top10" priority="1" bottom="1" rank="1" id="{00E500CD-0036-4AC3-86DB-00EF00360062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C41:H42</xm:sqref>
        </x14:conditionalFormatting>
        <x14:conditionalFormatting xmlns:xm="http://schemas.microsoft.com/office/excel/2006/main">
          <x14:cfRule type="top10" priority="2" rank="1" id="{000100A1-0097-4F95-AF8C-00FE00ED00F5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C59:H60</xm:sqref>
        </x14:conditionalFormatting>
        <x14:conditionalFormatting xmlns:xm="http://schemas.microsoft.com/office/excel/2006/main">
          <x14:cfRule type="top10" priority="1" bottom="1" rank="1" id="{00B20035-0084-459F-BE3F-0093002F0055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C59:H60</xm:sqref>
        </x14:conditionalFormatting>
        <x14:conditionalFormatting xmlns:xm="http://schemas.microsoft.com/office/excel/2006/main">
          <x14:cfRule type="top10" priority="2" rank="1" id="{003200F6-0004-45B5-AA31-0070008F007C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C61:H62</xm:sqref>
        </x14:conditionalFormatting>
        <x14:conditionalFormatting xmlns:xm="http://schemas.microsoft.com/office/excel/2006/main">
          <x14:cfRule type="top10" priority="1" bottom="1" rank="1" id="{00A20002-00E1-4EBC-933E-00CA00270038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C61:H62</xm:sqref>
        </x14:conditionalFormatting>
        <x14:conditionalFormatting xmlns:xm="http://schemas.microsoft.com/office/excel/2006/main">
          <x14:cfRule type="top10" priority="2" rank="1" id="{008500AF-002A-4631-AC69-00CC001300A8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C63:H64</xm:sqref>
        </x14:conditionalFormatting>
        <x14:conditionalFormatting xmlns:xm="http://schemas.microsoft.com/office/excel/2006/main">
          <x14:cfRule type="top10" priority="1" bottom="1" rank="1" id="{00430004-00B2-48A3-B654-001300F400C3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C63:H64</xm:sqref>
        </x14:conditionalFormatting>
        <x14:conditionalFormatting xmlns:xm="http://schemas.microsoft.com/office/excel/2006/main">
          <x14:cfRule type="top10" priority="2" rank="1" id="{00A8003D-008E-4A34-89CD-0033006E00D2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C65:H66</xm:sqref>
        </x14:conditionalFormatting>
        <x14:conditionalFormatting xmlns:xm="http://schemas.microsoft.com/office/excel/2006/main">
          <x14:cfRule type="top10" priority="1" bottom="1" rank="1" id="{0062004C-009B-471C-B23F-003000AA00F1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C65:H66</xm:sqref>
        </x14:conditionalFormatting>
        <x14:conditionalFormatting xmlns:xm="http://schemas.microsoft.com/office/excel/2006/main">
          <x14:cfRule type="top10" priority="2" rank="1" id="{00860053-00F6-4426-983D-000600D40093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C67:H68</xm:sqref>
        </x14:conditionalFormatting>
        <x14:conditionalFormatting xmlns:xm="http://schemas.microsoft.com/office/excel/2006/main">
          <x14:cfRule type="top10" priority="1" bottom="1" rank="1" id="{000C002A-0081-4F30-BBFB-0022009E00FB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C67:H68</xm:sqref>
        </x14:conditionalFormatting>
        <x14:conditionalFormatting xmlns:xm="http://schemas.microsoft.com/office/excel/2006/main">
          <x14:cfRule type="top10" priority="2" rank="1" id="{004E00DF-0065-4FAF-BFD5-00E700BC00C3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C69:H70</xm:sqref>
        </x14:conditionalFormatting>
        <x14:conditionalFormatting xmlns:xm="http://schemas.microsoft.com/office/excel/2006/main">
          <x14:cfRule type="top10" priority="1" bottom="1" rank="1" id="{008D0031-008B-4729-82C6-002A00660058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C69:H70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